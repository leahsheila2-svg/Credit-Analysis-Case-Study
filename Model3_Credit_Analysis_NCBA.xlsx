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redit Memo" sheetId="1" state="visible" r:id="rId3"/>
    <sheet name="Borrower Profile" sheetId="2" state="visible" r:id="rId4"/>
    <sheet name="Financial Statements" sheetId="3" state="visible" r:id="rId5"/>
    <sheet name="Ratio Analysis" sheetId="4" state="visible" r:id="rId6"/>
    <sheet name="Risk Assessment" sheetId="5" state="visible" r:id="rId7"/>
    <sheet name="Lending Recommendation" sheetId="6" state="visible" r:id="rId8"/>
    <sheet name="Sensitivity Analysis" sheetId="7" state="visible" r:id="rId9"/>
    <sheet name="Sources and Assump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<sst xmlns="http://schemas.openxmlformats.org/spreadsheetml/2006/main" count="681" uniqueCount="610">
  <si>
    <t xml:space="preserve">CREDIT ANALYSIS MEMORANDUM</t>
  </si>
  <si>
    <t xml:space="preserve">Illustrative case study based on public annual reports. Not a real credit decision.</t>
  </si>
  <si>
    <t xml:space="preserve">CREDIT MEMO HEADER</t>
  </si>
  <si>
    <t xml:space="preserve">BORROWER / OBLIGOR</t>
  </si>
  <si>
    <t xml:space="preserve">NCBA Group PLC</t>
  </si>
  <si>
    <t xml:space="preserve">Credit Facility Type</t>
  </si>
  <si>
    <t xml:space="preserve">Senior Unsecured Bilateral Loan Facility</t>
  </si>
  <si>
    <t xml:space="preserve">Proposed Facility Amount</t>
  </si>
  <si>
    <t xml:space="preserve">KES 5,000,000,000 (KES 5.0 Billion)</t>
  </si>
  <si>
    <t xml:space="preserve">Tenor</t>
  </si>
  <si>
    <t xml:space="preserve">36 months (3 years) with 6-month grace on principal</t>
  </si>
  <si>
    <t xml:space="preserve">Purpose</t>
  </si>
  <si>
    <t xml:space="preserve">General corporate purposes; working capital; subsidiary on-lending</t>
  </si>
  <si>
    <t xml:space="preserve">Interest Rate</t>
  </si>
  <si>
    <t xml:space="preserve">CBR + 350 bps (floating) = ~13.5% pa (at CBR 10.0%)</t>
  </si>
  <si>
    <t xml:space="preserve">Repayment</t>
  </si>
  <si>
    <t xml:space="preserve">Bullet repayment at maturity with quarterly interest payments</t>
  </si>
  <si>
    <t xml:space="preserve">Security</t>
  </si>
  <si>
    <t xml:space="preserve">Negative Pledge + Financial Covenants (unsecured)</t>
  </si>
  <si>
    <t xml:space="preserve">Governing Law</t>
  </si>
  <si>
    <t xml:space="preserve">Laws of Kenya</t>
  </si>
  <si>
    <t xml:space="preserve">Lead Arranger</t>
  </si>
  <si>
    <t xml:space="preserve">Hypothetical Lender — syndicated if &gt; KES 2.5 bn</t>
  </si>
  <si>
    <t xml:space="preserve">Borrower Legal Entity</t>
  </si>
  <si>
    <t xml:space="preserve">NCBA Group PLC (parent holding company, NSE listed)</t>
  </si>
  <si>
    <t xml:space="preserve">Industry / Sector</t>
  </si>
  <si>
    <t xml:space="preserve">Banking &amp; Financial Services</t>
  </si>
  <si>
    <t xml:space="preserve">Jurisdiction</t>
  </si>
  <si>
    <t xml:space="preserve">Republic of Kenya</t>
  </si>
  <si>
    <t xml:space="preserve">Relationship Tier</t>
  </si>
  <si>
    <t xml:space="preserve">Tier 1 Corporate — Strategic</t>
  </si>
  <si>
    <t xml:space="preserve">Credit Officer</t>
  </si>
  <si>
    <t xml:space="preserve">[Name], Senior Credit Analyst</t>
  </si>
  <si>
    <t xml:space="preserve">Credit Committee Date</t>
  </si>
  <si>
    <t xml:space="preserve">[Date]</t>
  </si>
  <si>
    <t xml:space="preserve">Last Review Date</t>
  </si>
  <si>
    <t xml:space="preserve">Based on FY2025 Annual Report (December 2025)</t>
  </si>
  <si>
    <t xml:space="preserve">Previous Exposure</t>
  </si>
  <si>
    <t xml:space="preserve">Nil (new relationship / green-field facility)</t>
  </si>
  <si>
    <t xml:space="preserve">Recommended Action</t>
  </si>
  <si>
    <t xml:space="preserve">APPROVE — subject to covenants and conditions precedent</t>
  </si>
  <si>
    <t xml:space="preserve">EXECUTIVE SUMMARY</t>
  </si>
  <si>
    <t xml:space="preserve">NCBA Group PLC is a systemically important financial institution (SIFI) in Kenya, operating as a full-service banking group listed on the Nairobi Securities Exchange. As at 31 December 2025, the Group held total assets of KES 716 billion, shareholders' equity of KES 127 billion, and generated a Profit After Tax of KES 23.4 billion — an 7.0% increase year-on-year. The Group maintains strong capital adequacy ratios (CAR: 19.8%, well above the CBK minimum of 14.5%), declining NPL ratios (7.5%, improving from 8.6%), and a robust liquidity position (cash + government securities covering 53.7% of deposits).
The proposed KES 5.0 billion senior unsecured facility represents 3.9% of the Group's shareholders' equity — a modest exposure relative to the borrower's balance sheet. NCBA's consistent earnings track record (three consecutive years of double-digit PBT growth), strong deposit franchise (KES 532 billion), and improving credit quality metrics support a credit recommendation of APPROVAL at the proposed terms. The primary risk is the Group's NPL level (7.5%) and potential further deterioration in the Kenyan SME/corporate lending environment. This is mitigated by NCBA's conservative provisioning, CBK regulatory oversight, and its diversified pan-African revenue base.</t>
  </si>
  <si>
    <t xml:space="preserve">MODEL STRUCTURE</t>
  </si>
  <si>
    <t xml:space="preserve">1</t>
  </si>
  <si>
    <t xml:space="preserve">Credit Memo</t>
  </si>
  <si>
    <t xml:space="preserve">This page — facility details, executive summary</t>
  </si>
  <si>
    <t xml:space="preserve">2</t>
  </si>
  <si>
    <t xml:space="preserve">Borrower Profile</t>
  </si>
  <si>
    <t xml:space="preserve">NCBA company overview, business model, strategy</t>
  </si>
  <si>
    <t xml:space="preserve">3</t>
  </si>
  <si>
    <t xml:space="preserve">Financial Statements</t>
  </si>
  <si>
    <t xml:space="preserve">3-year P&amp;L, Balance Sheet, Cash Flow actuals</t>
  </si>
  <si>
    <t xml:space="preserve">4</t>
  </si>
  <si>
    <t xml:space="preserve">Ratio Analysis</t>
  </si>
  <si>
    <t xml:space="preserve">35+ credit ratios: coverage, leverage, liquidity, profitability</t>
  </si>
  <si>
    <t xml:space="preserve">5</t>
  </si>
  <si>
    <t xml:space="preserve">Risk Assessment</t>
  </si>
  <si>
    <t xml:space="preserve">5C's analysis, SWOT, risk matrix, stress tests</t>
  </si>
  <si>
    <t xml:space="preserve">6</t>
  </si>
  <si>
    <t xml:space="preserve">Lending Recommendation</t>
  </si>
  <si>
    <t xml:space="preserve">Covenants, conditions, pricing, decision rationale</t>
  </si>
  <si>
    <t xml:space="preserve">7</t>
  </si>
  <si>
    <t xml:space="preserve">Sensitivity Analysis</t>
  </si>
  <si>
    <t xml:space="preserve">Coverage ratio under stress; covenant headroom</t>
  </si>
  <si>
    <t xml:space="preserve">8</t>
  </si>
  <si>
    <t xml:space="preserve">Sources and Assumptions</t>
  </si>
  <si>
    <t xml:space="preserve">Annual reports used, CBR and fee assumptions, coverage definitions</t>
  </si>
  <si>
    <t xml:space="preserve">BORROWER PROFILE — NCBA GROUP PLC</t>
  </si>
  <si>
    <t xml:space="preserve">NSE: NCBA | Banking &amp; Financial Services | KES '000</t>
  </si>
  <si>
    <t xml:space="preserve">A. COMPANY OVERVIEW</t>
  </si>
  <si>
    <t xml:space="preserve">Full Legal Name</t>
  </si>
  <si>
    <t xml:space="preserve">Registration Number</t>
  </si>
  <si>
    <t xml:space="preserve">CPR/2011/011574 (Companies Act, Kenya)</t>
  </si>
  <si>
    <t xml:space="preserve">NSE Ticker</t>
  </si>
  <si>
    <t xml:space="preserve">NCBA (Nairobi Securities Exchange, Main Investment Market)</t>
  </si>
  <si>
    <t xml:space="preserve">Incorporated</t>
  </si>
  <si>
    <t xml:space="preserve">Kenya (2011 — via merger of NIC Bank &amp; CBA Group in 2019)</t>
  </si>
  <si>
    <t xml:space="preserve">Group Structure</t>
  </si>
  <si>
    <t xml:space="preserve">Parent HoldCo + 7 banking subsidiaries across 6 countries</t>
  </si>
  <si>
    <t xml:space="preserve">Subsidiaries</t>
  </si>
  <si>
    <t xml:space="preserve">NCBA Bank Kenya, NCBA Tanzania, NCBA Uganda, NCBA Rwanda, NCBA Bank Côte d'Ivoire, NCBA Ghana</t>
  </si>
  <si>
    <t xml:space="preserve">Employees (est.)</t>
  </si>
  <si>
    <t xml:space="preserve">~7,800 (Kenya + regional)</t>
  </si>
  <si>
    <t xml:space="preserve">Branch Network</t>
  </si>
  <si>
    <t xml:space="preserve">~100 branches Kenya + regional network</t>
  </si>
  <si>
    <t xml:space="preserve">Auditors</t>
  </si>
  <si>
    <t xml:space="preserve">Deloitte &amp; Touche LLP, Kenya</t>
  </si>
  <si>
    <t xml:space="preserve">Regulators</t>
  </si>
  <si>
    <t xml:space="preserve">Central Bank of Kenya (primary); regional central banks</t>
  </si>
  <si>
    <t xml:space="preserve">Credit Rating</t>
  </si>
  <si>
    <t xml:space="preserve">Not externally rated (unrated corporate)</t>
  </si>
  <si>
    <t xml:space="preserve">Ownership</t>
  </si>
  <si>
    <t xml:space="preserve">Widely held — Ndegwa family ~26%, institutional ~40%, retail ~34%</t>
  </si>
  <si>
    <t xml:space="preserve">B. BUSINESS MODEL &amp; REVENUE MIX</t>
  </si>
  <si>
    <t xml:space="preserve">Core Banking (Retail &amp; Corporate)</t>
  </si>
  <si>
    <t xml:space="preserve">Deposits, loans, trade finance, treasury. Kenya contributes ~70% of Group revenue.</t>
  </si>
  <si>
    <t xml:space="preserve">Digital Financial Services</t>
  </si>
  <si>
    <t xml:space="preserve">Loop DFS (NCBA Loop app), M-Shwari (partnership with Safaricom — 35mn+ accounts), Fuliza overdraft. Kenya's largest digital lending platform by accounts.</t>
  </si>
  <si>
    <t xml:space="preserve">Insurance</t>
  </si>
  <si>
    <t xml:space="preserve">NCBA Insurance (short-term), reinsurance. Contributed KES 1.6bn revenue in FY2025.</t>
  </si>
  <si>
    <t xml:space="preserve">Investment Banking &amp; Markets</t>
  </si>
  <si>
    <t xml:space="preserve">Treasury, FX, fixed income, equity sales. Net FX income KES 5.1bn in FY2025.</t>
  </si>
  <si>
    <t xml:space="preserve">Diaspora &amp; International</t>
  </si>
  <si>
    <t xml:space="preserve">Trade corridors Kenya-UK, US. Growing remittance book.</t>
  </si>
  <si>
    <t xml:space="preserve">Regional Banking</t>
  </si>
  <si>
    <t xml:space="preserve">Tanzania, Uganda, Rwanda, CIV, Ghana — combined ~30% of Group PAT</t>
  </si>
  <si>
    <t xml:space="preserve">C. STRATEGIC POSITION &amp; COMPETITIVE MOAT</t>
  </si>
  <si>
    <t xml:space="preserve">Market Position</t>
  </si>
  <si>
    <t xml:space="preserve">4th largest bank by assets in Kenya. Systemically important (CBK SIFI designation).</t>
  </si>
  <si>
    <t xml:space="preserve">Digital Leadership</t>
  </si>
  <si>
    <t xml:space="preserve">M-Shwari &amp; Fuliza with Safaricom give NCBA access to 35mn+ M-PESA users — unmatched distribution.</t>
  </si>
  <si>
    <t xml:space="preserve">Deposit Franchise</t>
  </si>
  <si>
    <t xml:space="preserve">KES 532bn in deposits (FY2025). Low-cost CASA ratio improving post-rate cycle.</t>
  </si>
  <si>
    <t xml:space="preserve">Capital Strength</t>
  </si>
  <si>
    <t xml:space="preserve">CAR 19.8% — 530bps above CBK minimum. Strong buffer for growth and stress.</t>
  </si>
  <si>
    <t xml:space="preserve">Earnings Consistency</t>
  </si>
  <si>
    <t xml:space="preserve">4 consecutive years of double-digit PBT growth (FY2022–FY2025).</t>
  </si>
  <si>
    <t xml:space="preserve">Pan-African Growth</t>
  </si>
  <si>
    <t xml:space="preserve">6-country footprint provides revenue diversification and growth optionality.</t>
  </si>
  <si>
    <t xml:space="preserve">D. MANAGEMENT &amp; GOVERNANCE</t>
  </si>
  <si>
    <t xml:space="preserve">Group MD &amp; CEO</t>
  </si>
  <si>
    <t xml:space="preserve">John Gachora (since 2021 — former Barclays Africa) — well-regarded, execution-focused</t>
  </si>
  <si>
    <t xml:space="preserve">CFO</t>
  </si>
  <si>
    <t xml:space="preserve">Experience in East African banking; FY2025 results call demonstrates strong financial discipline</t>
  </si>
  <si>
    <t xml:space="preserve">Board</t>
  </si>
  <si>
    <t xml:space="preserve">13 directors; majority independent. Chaired by non-executive. CBK-regulated governance.</t>
  </si>
  <si>
    <t xml:space="preserve">Audit Committee</t>
  </si>
  <si>
    <t xml:space="preserve">Meets quarterly; Deloitte as external auditor since merger (2019)</t>
  </si>
  <si>
    <t xml:space="preserve">Risk Framework</t>
  </si>
  <si>
    <t xml:space="preserve">Enterprise Risk Management (ERM) framework; CBK Basel III pillar compliance</t>
  </si>
  <si>
    <t xml:space="preserve">Succession Risk</t>
  </si>
  <si>
    <t xml:space="preserve">Low — deep management bench; regional CEO structure in place</t>
  </si>
  <si>
    <t xml:space="preserve">FINANCIAL STATEMENTS — NCBA GROUP PLC (3-YEAR ACTUALS)</t>
  </si>
  <si>
    <t xml:space="preserve">KES '000 | Source: NCBA Annual Reports FY2023, FY2024, FY2025 (Audited)</t>
  </si>
  <si>
    <t xml:space="preserve">LINE ITEM</t>
  </si>
  <si>
    <t xml:space="preserve">FY2023</t>
  </si>
  <si>
    <t xml:space="preserve">FY2024</t>
  </si>
  <si>
    <t xml:space="preserve">FY2025</t>
  </si>
  <si>
    <t xml:space="preserve">CAGR
2Yr</t>
  </si>
  <si>
    <t xml:space="preserve">% of Rev
FY2025</t>
  </si>
  <si>
    <t xml:space="preserve">INCOME STATEMENT</t>
  </si>
  <si>
    <t xml:space="preserve">Interest Income</t>
  </si>
  <si>
    <t xml:space="preserve">Interest Expense</t>
  </si>
  <si>
    <t xml:space="preserve">Net Interest Income</t>
  </si>
  <si>
    <t xml:space="preserve">Non-Interest Income</t>
  </si>
  <si>
    <t xml:space="preserve">Net Operating Income</t>
  </si>
  <si>
    <t xml:space="preserve">Operating Expenses</t>
  </si>
  <si>
    <t xml:space="preserve">Operating Profit (Pre-Imp)</t>
  </si>
  <si>
    <t xml:space="preserve">Credit Impairment Losses</t>
  </si>
  <si>
    <t xml:space="preserve">Profit Before Tax</t>
  </si>
  <si>
    <t xml:space="preserve">Income Tax</t>
  </si>
  <si>
    <t xml:space="preserve">Profit After Tax</t>
  </si>
  <si>
    <t xml:space="preserve">EPS (KES)</t>
  </si>
  <si>
    <t xml:space="preserve">DPS (KES)</t>
  </si>
  <si>
    <t xml:space="preserve">BALANCE SHEET</t>
  </si>
  <si>
    <t xml:space="preserve">Total Assets</t>
  </si>
  <si>
    <t xml:space="preserve">Customer Loans &amp; Advances</t>
  </si>
  <si>
    <t xml:space="preserve">Government Securities</t>
  </si>
  <si>
    <t xml:space="preserve">Cash &amp; CBK Balances</t>
  </si>
  <si>
    <t xml:space="preserve">Customer Deposits</t>
  </si>
  <si>
    <t xml:space="preserve">Borrowings</t>
  </si>
  <si>
    <t xml:space="preserve">Shareholders' Equity</t>
  </si>
  <si>
    <t xml:space="preserve">CASH FLOW STATEMENT</t>
  </si>
  <si>
    <t xml:space="preserve">Net Cash from Operations</t>
  </si>
  <si>
    <t xml:space="preserve">Net Cash from Investing</t>
  </si>
  <si>
    <t xml:space="preserve">Net Cash from Financing</t>
  </si>
  <si>
    <t xml:space="preserve">Net Change in Cash</t>
  </si>
  <si>
    <t xml:space="preserve">Capital Expenditure</t>
  </si>
  <si>
    <t xml:space="preserve">Dividends Paid</t>
  </si>
  <si>
    <t xml:space="preserve">Free Cash Flow (Ops - Capex)</t>
  </si>
  <si>
    <t xml:space="preserve">CREDIT RATIO ANALYSIS — NCBA GROUP PLC</t>
  </si>
  <si>
    <t xml:space="preserve">35+ credit ratios across coverage, leverage, liquidity, asset quality and profitability</t>
  </si>
  <si>
    <t xml:space="preserve">Ratio / Metric</t>
  </si>
  <si>
    <t xml:space="preserve">Benchmark</t>
  </si>
  <si>
    <t xml:space="preserve">Assessment</t>
  </si>
  <si>
    <t xml:space="preserve">I. DEBT SERVICE &amp; COVERAGE RATIOS</t>
  </si>
  <si>
    <t xml:space="preserve">Group Interest Coverage (NOI / Group Finance Costs)</t>
  </si>
  <si>
    <t xml:space="preserve">≥ 3.0×</t>
  </si>
  <si>
    <t xml:space="preserve">DSCR (NOI / Debt Service)</t>
  </si>
  <si>
    <t xml:space="preserve">≥ 1.5×</t>
  </si>
  <si>
    <t xml:space="preserve">Strong operating profit more than covers all debt obligations</t>
  </si>
  <si>
    <t xml:space="preserve">Fixed Charge Coverage (PBT+Int)/(Int+Div)</t>
  </si>
  <si>
    <t xml:space="preserve">Solid — covers both interest and dividends from earnings</t>
  </si>
  <si>
    <t xml:space="preserve">Cash Flow Coverage (OpCF/Debt Service)</t>
  </si>
  <si>
    <t xml:space="preserve">≥ 1.2×</t>
  </si>
  <si>
    <t xml:space="preserve">FY2024 negative (working capital); FY2025 strong at 1.84× — cyclical</t>
  </si>
  <si>
    <t xml:space="preserve">FCF Debt Coverage (FCF/Total Borrowings)</t>
  </si>
  <si>
    <t xml:space="preserve">≥ 0.5×</t>
  </si>
  <si>
    <t xml:space="preserve">FY2025 outstanding: FCF covers borrowings 4.8× — negligible repayment risk</t>
  </si>
  <si>
    <t xml:space="preserve">II. LEVERAGE &amp; CAPITAL RATIOS</t>
  </si>
  <si>
    <t xml:space="preserve">Total Debt / Equity (Gearing)</t>
  </si>
  <si>
    <t xml:space="preserve">&lt; 0.25×</t>
  </si>
  <si>
    <t xml:space="preserve">Very low gearing (6.0% FY2025) — borrowings are minimal vs equity base</t>
  </si>
  <si>
    <t xml:space="preserve">Net Debt / Equity</t>
  </si>
  <si>
    <t xml:space="preserve">&lt; 0.50×</t>
  </si>
  <si>
    <t xml:space="preserve">Net cash position (cash &gt; borrowings) = effectively ungeared</t>
  </si>
  <si>
    <t xml:space="preserve">Capital Adequacy Ratio (CBK Basel III)</t>
  </si>
  <si>
    <t xml:space="preserve">≥ 14.5%</t>
  </si>
  <si>
    <t xml:space="preserve">19.8% CAR — 530bps above minimum; strong regulatory capital buffer</t>
  </si>
  <si>
    <t xml:space="preserve">Tier 1 Capital Ratio</t>
  </si>
  <si>
    <t xml:space="preserve">≥ 10.5%</t>
  </si>
  <si>
    <t xml:space="preserve">16.3% — well above minimum; loss-absorption capacity is strong</t>
  </si>
  <si>
    <t xml:space="preserve">Equity / Total Assets</t>
  </si>
  <si>
    <t xml:space="preserve">≥ 8%</t>
  </si>
  <si>
    <t xml:space="preserve">17.8% — conservative equity-to-assets; growing balance sheet</t>
  </si>
  <si>
    <t xml:space="preserve">Leverage Ratio (Assets/Equity)</t>
  </si>
  <si>
    <t xml:space="preserve">&lt; 12×</t>
  </si>
  <si>
    <t xml:space="preserve">5.6× — conservative for a bank (avg sector 7–10×). Positive for creditors.</t>
  </si>
  <si>
    <t xml:space="preserve">III. LIQUIDITY RATIOS</t>
  </si>
  <si>
    <t xml:space="preserve">Cash &amp; Gov Securities / Deposits</t>
  </si>
  <si>
    <t xml:space="preserve">≥ 20%</t>
  </si>
  <si>
    <t xml:space="preserve">53.7% — exceptional liquidity. Depositors and creditors fully backed.</t>
  </si>
  <si>
    <t xml:space="preserve">Loan-to-Deposit Ratio (LDR)</t>
  </si>
  <si>
    <t xml:space="preserve">&lt; 80%</t>
  </si>
  <si>
    <t xml:space="preserve">57.7% — very conservative LDR; ample deposit funding for loan book</t>
  </si>
  <si>
    <t xml:space="preserve">Current Asset Coverage (Liquid / Total Liab)</t>
  </si>
  <si>
    <t xml:space="preserve">≥ 30%</t>
  </si>
  <si>
    <t xml:space="preserve">49.3% — solid coverage of total liabilities from liquid assets alone</t>
  </si>
  <si>
    <t xml:space="preserve">Net Stable Funding Ratio (NSFR, est.)</t>
  </si>
  <si>
    <t xml:space="preserve">≥ 1.00</t>
  </si>
  <si>
    <t xml:space="preserve">Estimated NSFR of 1.25× (above Basel III 100% minimum) — stable funding mix</t>
  </si>
  <si>
    <t xml:space="preserve">Liquidity Coverage Ratio (LCR, est.)</t>
  </si>
  <si>
    <t xml:space="preserve">Estimated LCR 148% — well above 100% minimum; short-term stress resilient</t>
  </si>
  <si>
    <t xml:space="preserve">IV. ASSET QUALITY RATIOS</t>
  </si>
  <si>
    <t xml:space="preserve">NPL Ratio (Stage 3 / Gross Loans)</t>
  </si>
  <si>
    <t xml:space="preserve">&lt; 5%</t>
  </si>
  <si>
    <t xml:space="preserve">7.5% — improving from 9.2% peak; still above 5% threshold. Key watch point.</t>
  </si>
  <si>
    <t xml:space="preserve">Loan Loss Reserve Coverage</t>
  </si>
  <si>
    <t xml:space="preserve">≥ 70%</t>
  </si>
  <si>
    <t xml:space="preserve">61% — below ideal threshold; reserve build may require additional provisions</t>
  </si>
  <si>
    <t xml:space="preserve">Credit Loss Ratio (Impairment/Net Loans)</t>
  </si>
  <si>
    <t xml:space="preserve">&lt; 2%</t>
  </si>
  <si>
    <t xml:space="preserve">2.25% FY2025 — above 2% threshold. Watch trend vs sector benchmark.</t>
  </si>
  <si>
    <t xml:space="preserve">Provision Charge (Impairment/NOI)</t>
  </si>
  <si>
    <t xml:space="preserve">&lt; 8%</t>
  </si>
  <si>
    <t xml:space="preserve">9.6% — elevated relative to income; contained but rising trend is a risk</t>
  </si>
  <si>
    <t xml:space="preserve">Loan Concentration (Top 20 / Gross Loans)</t>
  </si>
  <si>
    <t xml:space="preserve">&lt; 35%</t>
  </si>
  <si>
    <t xml:space="preserve">Estimated 34% — large ticket exposure declining. Granularity improving.</t>
  </si>
  <si>
    <t xml:space="preserve">V. PROFITABILITY RATIOS</t>
  </si>
  <si>
    <t xml:space="preserve">Return on Equity (ROE)</t>
  </si>
  <si>
    <t xml:space="preserve">≥ 15%</t>
  </si>
  <si>
    <t xml:space="preserve">19.7% — strong ROE; sustainable earnings generation capacity for debt service</t>
  </si>
  <si>
    <t xml:space="preserve">Return on Assets (ROA)</t>
  </si>
  <si>
    <t xml:space="preserve">≥ 1.5%</t>
  </si>
  <si>
    <t xml:space="preserve">3.3% — well above benchmark; efficient asset utilisation</t>
  </si>
  <si>
    <t xml:space="preserve">Net Interest Margin (NIM)</t>
  </si>
  <si>
    <t xml:space="preserve">≥ 5%</t>
  </si>
  <si>
    <t xml:space="preserve">10.8% of earning assets — expanding NIM is the primary FY2025 earnings driver</t>
  </si>
  <si>
    <t xml:space="preserve">Cost-to-Income Ratio (CIR)</t>
  </si>
  <si>
    <t xml:space="preserve">&lt; 55%</t>
  </si>
  <si>
    <t xml:space="preserve">51.7% — below 55% benchmark; tightly managed operating cost base</t>
  </si>
  <si>
    <t xml:space="preserve">PAT Growth YoY</t>
  </si>
  <si>
    <t xml:space="preserve">FY2025: +7.0% PAT growth. FY2024: +20.8%. Consistent track record.</t>
  </si>
  <si>
    <t xml:space="preserve">Dividend Payout Ratio</t>
  </si>
  <si>
    <t xml:space="preserve">&lt; 60%</t>
  </si>
  <si>
    <t xml:space="preserve">40.5% — well within sustainable payout range; strong retained earnings</t>
  </si>
  <si>
    <t xml:space="preserve">VI. CREDIT-SPECIFIC BANKING RATIOS</t>
  </si>
  <si>
    <t xml:space="preserve">Single Borrower Limit Compliance</t>
  </si>
  <si>
    <t xml:space="preserve">≤ 25% CAR</t>
  </si>
  <si>
    <t xml:space="preserve">CBK single obligor limit: 25% of core capital. NCBA compliant.</t>
  </si>
  <si>
    <t xml:space="preserve">Related Party Lending / Gross Loans</t>
  </si>
  <si>
    <t xml:space="preserve">2.5% — declining related-party exposure; governance improving</t>
  </si>
  <si>
    <t xml:space="preserve">Foreign Currency Exposure / Core Capital</t>
  </si>
  <si>
    <t xml:space="preserve">&lt; 20%</t>
  </si>
  <si>
    <t xml:space="preserve">14% — managed FX book; well within CBK net open position limit</t>
  </si>
  <si>
    <t xml:space="preserve">RISK ASSESSMENT — NCBA GROUP PLC</t>
  </si>
  <si>
    <t xml:space="preserve">Credit Risk | Market Risk | Operational Risk | Environmental Risk | Regulatory Risk</t>
  </si>
  <si>
    <t xml:space="preserve">A. THE 5 C's OF CREDIT ANALYSIS</t>
  </si>
  <si>
    <t xml:space="preserve">1. CHARACTER</t>
  </si>
  <si>
    <t xml:space="preserve">Rating:</t>
  </si>
  <si>
    <t xml:space="preserve">STRONG ✓</t>
  </si>
  <si>
    <t xml:space="preserve">NCBA Group has demonstrated 4 consecutive years of consistent earnings growth and transparent financial reporting. The Group has never defaulted on any debt obligation. Deloitte-audited financials and CBK regulatory oversight provide strong governance assurance. NSE listing adds further disclosure discipline. No adverse regulatory actions in FY2025.</t>
  </si>
  <si>
    <t xml:space="preserve">2. CAPACITY (Ability to Repay)</t>
  </si>
  <si>
    <t xml:space="preserve">FY2025 PAT of KES 23.4 billion provides 4.7× annual coverage of the proposed KES 5.0bn facility. Interest coverage of 3.86× and DSCR of 1.65× are both above covenant thresholds. Free Cash Flow of KES 36.7 billion (post-capex) covers total proposed debt service (principal + interest at 13.5%) approximately 5× in FY2025. Even in a stressed scenario (30% NOI decline), DSCR remains above 1.0×.</t>
  </si>
  <si>
    <t xml:space="preserve">3. CAPITAL (Financial Strength)</t>
  </si>
  <si>
    <t xml:space="preserve">VERY STRONG ✓</t>
  </si>
  <si>
    <t xml:space="preserve">Shareholders' equity of KES 127.4 billion as at December 2025. CAR of 19.8% versus CBK minimum 14.5% — buffer of 530bps. Tier 1 capital ratio 16.3% (minimum 10.5%). The proposed facility of KES 5.0bn represents only 3.9% of equity. The Group has zero net debt (cash KES 63.8bn exceeds borrowings KES 7.6bn). Capital structure is conservative and credit-supportive.</t>
  </si>
  <si>
    <t xml:space="preserve">4. COLLATERAL (Security)</t>
  </si>
  <si>
    <t xml:space="preserve">MODERATE — Unsecured ⚠️</t>
  </si>
  <si>
    <t xml:space="preserve">The facility is proposed as senior unsecured with a negative pledge. While NCBA has significant assets (KES 716bn), the majority are financial assets (loans and government securities) that are pledged to depositors as priority creditors. In a liquidation scenario, deposit claims (KES 532bn) rank ahead of unsecured lenders. The credit decision therefore rests primarily on cash flow rather than asset security. Negative pledge covenant restricts further secured borrowing.</t>
  </si>
  <si>
    <t xml:space="preserve">5. CONDITIONS (Macro &amp; Industry)</t>
  </si>
  <si>
    <t xml:space="preserve">MODERATE ⚠️</t>
  </si>
  <si>
    <t xml:space="preserve">Kenya's economy grew 6.2% in FY2025 (NCBA Directors' Report). CBK is in an easing cycle (benchmark rate declining from 13% peak). Banking sector profitability is improving but NPL ratios remain elevated across the sector (industry average ~12%). Political environment stable post-2022 elections. FX risk: KES has stabilized. Key downside risk is a sudden reversal in the CBK rate cycle or a sovereign credit event. These are monitored through covenant triggers.</t>
  </si>
  <si>
    <t xml:space="preserve">B. RISK MATRIX — PROBABILITY vs IMPACT</t>
  </si>
  <si>
    <t xml:space="preserve">Risk Factor</t>
  </si>
  <si>
    <t xml:space="preserve">Probability</t>
  </si>
  <si>
    <t xml:space="preserve">Impact</t>
  </si>
  <si>
    <t xml:space="preserve">Rating</t>
  </si>
  <si>
    <t xml:space="preserve">Mitigation</t>
  </si>
  <si>
    <t xml:space="preserve">Credit/NPL Risk</t>
  </si>
  <si>
    <t xml:space="preserve">Medium</t>
  </si>
  <si>
    <t xml:space="preserve">High</t>
  </si>
  <si>
    <t xml:space="preserve">HIGH</t>
  </si>
  <si>
    <t xml:space="preserve">Covenant: NPL ratio ≤ 10% triggers review</t>
  </si>
  <si>
    <t xml:space="preserve">Interest Rate Risk</t>
  </si>
  <si>
    <t xml:space="preserve">Low</t>
  </si>
  <si>
    <t xml:space="preserve">MEDIUM</t>
  </si>
  <si>
    <t xml:space="preserve">NCBA asset-sensitive book benefits from rate cuts</t>
  </si>
  <si>
    <t xml:space="preserve">Liquidity Risk</t>
  </si>
  <si>
    <t xml:space="preserve">Very Low</t>
  </si>
  <si>
    <t xml:space="preserve">Very High</t>
  </si>
  <si>
    <t xml:space="preserve">LCR 148%, NSFR 125%, CBK lender of last resort</t>
  </si>
  <si>
    <t xml:space="preserve">Refinancing Risk</t>
  </si>
  <si>
    <t xml:space="preserve">Strong FCF generation; multiple refinancing options</t>
  </si>
  <si>
    <t xml:space="preserve">Concentration Risk</t>
  </si>
  <si>
    <t xml:space="preserve">Pan-African diversification ongoing; 6 countries</t>
  </si>
  <si>
    <t xml:space="preserve">Regulatory Risk</t>
  </si>
  <si>
    <t xml:space="preserve">LOW</t>
  </si>
  <si>
    <t xml:space="preserve">NCBA 530bps above minimum — significant buffer</t>
  </si>
  <si>
    <t xml:space="preserve">FX/Translation Risk</t>
  </si>
  <si>
    <t xml:space="preserve">Regional currencies partially offsetting; monitoring</t>
  </si>
  <si>
    <t xml:space="preserve">Operational/Tech Risk</t>
  </si>
  <si>
    <t xml:space="preserve">ISO 27001 compliant; CBK cybersecurity guidelines</t>
  </si>
  <si>
    <t xml:space="preserve">Reputational Risk</t>
  </si>
  <si>
    <t xml:space="preserve">Improving disclosure; related-party at 2.5% of loans</t>
  </si>
  <si>
    <t xml:space="preserve">Sovereign Risk</t>
  </si>
  <si>
    <t xml:space="preserve">GovSec KES 222bn — sovereign risk is a tail scenario</t>
  </si>
  <si>
    <t xml:space="preserve">C. STRESS TEST — COVENANT BREACH SCENARIOS</t>
  </si>
  <si>
    <t xml:space="preserve">Scenario</t>
  </si>
  <si>
    <t xml:space="preserve">PAT Impact</t>
  </si>
  <si>
    <t xml:space="preserve">Group Int Coverage (×)</t>
  </si>
  <si>
    <t xml:space="preserve">DSCR (×)</t>
  </si>
  <si>
    <t xml:space="preserve">Breach?</t>
  </si>
  <si>
    <t xml:space="preserve">Base Case (FY2025 Actual)</t>
  </si>
  <si>
    <t xml:space="preserve">—</t>
  </si>
  <si>
    <t xml:space="preserve">NO ✓</t>
  </si>
  <si>
    <t xml:space="preserve">Mild Stress: NOI -10%</t>
  </si>
  <si>
    <t xml:space="preserve">KES -0.0bn</t>
  </si>
  <si>
    <t xml:space="preserve">Moderate Stress: NOI -20%</t>
  </si>
  <si>
    <t xml:space="preserve">Severe Stress: NOI -30%</t>
  </si>
  <si>
    <t xml:space="preserve">YES ✗ — COVENANT BREACH</t>
  </si>
  <si>
    <t xml:space="preserve">Extreme: NOI -50%</t>
  </si>
  <si>
    <t xml:space="preserve">NPL surge: +5pp extra impairment</t>
  </si>
  <si>
    <t xml:space="preserve">LENDING RECOMMENDATION — CREDIT COMMITTEE SUBMISSION</t>
  </si>
  <si>
    <t xml:space="preserve">NCBA Group PLC | KES 5.0 Billion Senior Unsecured Facility</t>
  </si>
  <si>
    <t xml:space="preserve">A. CREDIT DECISION</t>
  </si>
  <si>
    <t xml:space="preserve">✅  RECOMMENDED: APPROVE</t>
  </si>
  <si>
    <t xml:space="preserve">NCBA Group PLC presents as a high-quality, investment-grade borrower. The credit case rests on: (1) strong and consistent earnings power (PAT KES 23.4bn, ROE 19.7%); (2) exceptional liquidity (cash + govts cover 53.7% of deposits); (3) conservative gearing (net cash position); (4) improving asset quality trajectory; and (5) regulatory capital well above minimums. The proposed exposure of KES 5.0bn is immaterial relative to the borrower's balance sheet.</t>
  </si>
  <si>
    <t xml:space="preserve">B. FACILITY TERM SHEET</t>
  </si>
  <si>
    <t xml:space="preserve">Facility Type</t>
  </si>
  <si>
    <t xml:space="preserve">Senior Unsecured Bilateral Term Loan</t>
  </si>
  <si>
    <t xml:space="preserve">Facility Amount</t>
  </si>
  <si>
    <t xml:space="preserve">KES 5,000,000,000 (Five Billion Kenya Shillings)</t>
  </si>
  <si>
    <t xml:space="preserve">Availability Period</t>
  </si>
  <si>
    <t xml:space="preserve">6 months from signing date</t>
  </si>
  <si>
    <t xml:space="preserve">36 months from first drawdown date</t>
  </si>
  <si>
    <t xml:space="preserve">Bullet repayment at maturity + quarterly interest payments</t>
  </si>
  <si>
    <t xml:space="preserve">CBR + 350 basis points (floating, quarterly reset)</t>
  </si>
  <si>
    <t xml:space="preserve">Indicative Rate at Signing</t>
  </si>
  <si>
    <t xml:space="preserve">~13.50% pa (assuming CBR = 10.0%)</t>
  </si>
  <si>
    <t xml:space="preserve">Default Rate</t>
  </si>
  <si>
    <t xml:space="preserve">Contract rate + 300bps on overdue amounts</t>
  </si>
  <si>
    <t xml:space="preserve">Arrangement Fee</t>
  </si>
  <si>
    <t xml:space="preserve">1.00% flat on facility amount (KES 50mn)</t>
  </si>
  <si>
    <t xml:space="preserve">Commitment Fee</t>
  </si>
  <si>
    <t xml:space="preserve">0.50% pa on undrawn amounts during availability period</t>
  </si>
  <si>
    <t xml:space="preserve">Prepayment</t>
  </si>
  <si>
    <t xml:space="preserve">Permitted without penalty with 30 days' notice</t>
  </si>
  <si>
    <t xml:space="preserve">General corporate; working capital; subsidiary capitalization</t>
  </si>
  <si>
    <t xml:space="preserve">Drawdown</t>
  </si>
  <si>
    <t xml:space="preserve">Minimum KES 500mn per drawdown; maximum 3 drawdowns</t>
  </si>
  <si>
    <t xml:space="preserve">Accounts</t>
  </si>
  <si>
    <t xml:space="preserve">All operating accounts maintained with Hypothetical Lender</t>
  </si>
  <si>
    <t xml:space="preserve">Laws of Kenya; jurisdiction: High Court of Kenya (Commercial Division)</t>
  </si>
  <si>
    <t xml:space="preserve">C. FINANCIAL COVENANTS</t>
  </si>
  <si>
    <t xml:space="preserve">Covenant</t>
  </si>
  <si>
    <t xml:space="preserve">Trigger Level</t>
  </si>
  <si>
    <t xml:space="preserve">FY2025 Actual</t>
  </si>
  <si>
    <t xml:space="preserve">Headroom</t>
  </si>
  <si>
    <t xml:space="preserve">Minimum Capital Adequacy Ratio (CAR)</t>
  </si>
  <si>
    <t xml:space="preserve">≥ 15.5% (CBK min 14.5% + 100bps buffer)</t>
  </si>
  <si>
    <t xml:space="preserve">19.8%</t>
  </si>
  <si>
    <t xml:space="preserve">+4.3%</t>
  </si>
  <si>
    <t xml:space="preserve">Minimum Tier 1 Capital Ratio</t>
  </si>
  <si>
    <t xml:space="preserve">≥ 12.0%</t>
  </si>
  <si>
    <t xml:space="preserve">16.3%</t>
  </si>
  <si>
    <t xml:space="preserve">Maximum NPL Ratio</t>
  </si>
  <si>
    <t xml:space="preserve">≤ 10.0%</t>
  </si>
  <si>
    <t xml:space="preserve">7.4%</t>
  </si>
  <si>
    <t xml:space="preserve">2.6%</t>
  </si>
  <si>
    <t xml:space="preserve">Minimum Group Interest Coverage (NOI/Finance Costs)</t>
  </si>
  <si>
    <t xml:space="preserve">≥ 2.50×</t>
  </si>
  <si>
    <t xml:space="preserve">3.86×</t>
  </si>
  <si>
    <t xml:space="preserve">+1.36×</t>
  </si>
  <si>
    <t xml:space="preserve">Minimum DSCR</t>
  </si>
  <si>
    <t xml:space="preserve">≥ 1.20×</t>
  </si>
  <si>
    <t xml:space="preserve">1.66×</t>
  </si>
  <si>
    <t xml:space="preserve">+0.46×</t>
  </si>
  <si>
    <t xml:space="preserve">Maximum Gearing (Debt/Equity)</t>
  </si>
  <si>
    <t xml:space="preserve">≤ 0.50×</t>
  </si>
  <si>
    <t xml:space="preserve">0.06×</t>
  </si>
  <si>
    <t xml:space="preserve">+0.44×</t>
  </si>
  <si>
    <t xml:space="preserve">Minimum Liquidity (Cash+Govts/Deposits)</t>
  </si>
  <si>
    <t xml:space="preserve">53.6%</t>
  </si>
  <si>
    <t xml:space="preserve">+23.6%</t>
  </si>
  <si>
    <t xml:space="preserve">Minimum ROA</t>
  </si>
  <si>
    <t xml:space="preserve">3.27%</t>
  </si>
  <si>
    <t xml:space="preserve">+1.77%</t>
  </si>
  <si>
    <t xml:space="preserve">Dividend Restriction (if covenant breach)</t>
  </si>
  <si>
    <t xml:space="preserve">Dividends suspended if any covenant breached</t>
  </si>
  <si>
    <t xml:space="preserve">N/A — compliant</t>
  </si>
  <si>
    <t xml:space="preserve">Negative Pledge</t>
  </si>
  <si>
    <t xml:space="preserve">No further security over assets without lender consent</t>
  </si>
  <si>
    <t xml:space="preserve">Confirmed</t>
  </si>
  <si>
    <t xml:space="preserve">Cross-Default</t>
  </si>
  <si>
    <t xml:space="preserve">Default on other debt &gt; KES 500mn triggers event of default</t>
  </si>
  <si>
    <t xml:space="preserve">Annual Audited Financials</t>
  </si>
  <si>
    <t xml:space="preserve">Delivery within 120 days of year end</t>
  </si>
  <si>
    <t xml:space="preserve">Compliant — Deloitte</t>
  </si>
  <si>
    <t xml:space="preserve">Quarterly Management Accounts</t>
  </si>
  <si>
    <t xml:space="preserve">Delivery within 45 days of quarter end</t>
  </si>
  <si>
    <t xml:space="preserve">To be agreed</t>
  </si>
  <si>
    <t xml:space="preserve">Material Adverse Change (MAC) Clause</t>
  </si>
  <si>
    <t xml:space="preserve">Lender may accelerate on MAC event</t>
  </si>
  <si>
    <t xml:space="preserve">Standard</t>
  </si>
  <si>
    <t xml:space="preserve">D. CONDITIONS PRECEDENT (CPs)</t>
  </si>
  <si>
    <t xml:space="preserve">CP 1</t>
  </si>
  <si>
    <t xml:space="preserve">Execution of all facility documentation in agreed form</t>
  </si>
  <si>
    <t xml:space="preserve">CP 2</t>
  </si>
  <si>
    <t xml:space="preserve">Certified board resolution approving the facility and authorising signatories</t>
  </si>
  <si>
    <t xml:space="preserve">CP 3</t>
  </si>
  <si>
    <t xml:space="preserve">Receipt of latest audited financial statements (FY2025 — Deloitte signed)</t>
  </si>
  <si>
    <t xml:space="preserve">CP 4</t>
  </si>
  <si>
    <t xml:space="preserve">Legal opinions from Borrower's counsel confirming due authorization and enforceability</t>
  </si>
  <si>
    <t xml:space="preserve">CP 5</t>
  </si>
  <si>
    <t xml:space="preserve">Confirmation of compliance with all financial covenants as at signing date</t>
  </si>
  <si>
    <t xml:space="preserve">CP 6</t>
  </si>
  <si>
    <t xml:space="preserve">No material adverse change in financial condition since date of last audited accounts</t>
  </si>
  <si>
    <t xml:space="preserve">CP 7</t>
  </si>
  <si>
    <t xml:space="preserve">CBK no-objection letter (if required for interbank lending limits)</t>
  </si>
  <si>
    <t xml:space="preserve">CP 8</t>
  </si>
  <si>
    <t xml:space="preserve">Arrangement fee payment (KES 50mn)</t>
  </si>
  <si>
    <t xml:space="preserve">CP 9</t>
  </si>
  <si>
    <t xml:space="preserve">Opening of operating accounts with Hypothetical Lender (if not already maintained)</t>
  </si>
  <si>
    <t xml:space="preserve">CP 10</t>
  </si>
  <si>
    <t xml:space="preserve">Anti-money laundering (AML) KYC documentation and sign-off</t>
  </si>
  <si>
    <t xml:space="preserve">E. PRICING RATIONALE</t>
  </si>
  <si>
    <t xml:space="preserve">Base Rate</t>
  </si>
  <si>
    <t xml:space="preserve">CBR = 10.0% (current CBK benchmark rate)</t>
  </si>
  <si>
    <t xml:space="preserve">Credit Spread</t>
  </si>
  <si>
    <t xml:space="preserve">350 bps — reflects: (i) unsecured structure +100bps; (ii) tenor risk (3yr) +75bps; (iii) credit quality offset -25bps; (iv) relationship premium offset -50bps; (v) market standard +250bps floor</t>
  </si>
  <si>
    <t xml:space="preserve">All-In Rate</t>
  </si>
  <si>
    <t xml:space="preserve">13.50% pa (CBR + 350bps) — quarterly reset</t>
  </si>
  <si>
    <t xml:space="preserve">Comparable Transactions</t>
  </si>
  <si>
    <t xml:space="preserve">KCB bilateral at CBR+380bps (FY2024); Equity Bank CBR+320bps (FY2025, secured)</t>
  </si>
  <si>
    <t xml:space="preserve">RAROC (Risk-Adjusted Return)</t>
  </si>
  <si>
    <t xml:space="preserve">Est. 18–22% on regulatory capital allocated — above internal hurdle of 15%</t>
  </si>
  <si>
    <t xml:space="preserve">Break-Even Analysis</t>
  </si>
  <si>
    <t xml:space="preserve">Facility profitable at credit loss rates up to 3.5% pa — well above current 2.25% actual</t>
  </si>
  <si>
    <t xml:space="preserve">Revenue (Year 1)</t>
  </si>
  <si>
    <t xml:space="preserve">Interest KES 675mn + Arrangement fee KES 50mn + Commitment fee KES 12.5mn = KES 737.5mn</t>
  </si>
  <si>
    <t xml:space="preserve">F. APPROVAL REQUIRED FROM</t>
  </si>
  <si>
    <t xml:space="preserve">Credit Analyst</t>
  </si>
  <si>
    <t xml:space="preserve">Prepared and Recommended</t>
  </si>
  <si>
    <t xml:space="preserve">Credit Manager</t>
  </si>
  <si>
    <t xml:space="preserve">Reviewed and Endorsed</t>
  </si>
  <si>
    <t xml:space="preserve">Head of Credit</t>
  </si>
  <si>
    <t xml:space="preserve">Approved — within delegated authority</t>
  </si>
  <si>
    <t xml:space="preserve">Credit Committee</t>
  </si>
  <si>
    <t xml:space="preserve">Final Approval Required if &gt; KES 2.5bn</t>
  </si>
  <si>
    <t xml:space="preserve">Board Credit Committee</t>
  </si>
  <si>
    <t xml:space="preserve">Not required (&lt; 10% of core capital)</t>
  </si>
  <si>
    <t xml:space="preserve">CREDIT SENSITIVITY ANALYSIS — COVENANT HEADROOM STRESS TESTS</t>
  </si>
  <si>
    <t xml:space="preserve">Tests covenant compliance across NOI decline, impairment surge and rate shock scenarios</t>
  </si>
  <si>
    <t xml:space="preserve">TABLE 1: FACILITY INTEREST COVERAGE (×) — NOI Decline vs Interest Rate on the proposed KES 5.0bn facility</t>
  </si>
  <si>
    <t xml:space="preserve">NOI Decline ↓ / Rate →</t>
  </si>
  <si>
    <t xml:space="preserve">CBR+200bps</t>
  </si>
  <si>
    <t xml:space="preserve">CBR+250bps</t>
  </si>
  <si>
    <t xml:space="preserve">CBR+300bps</t>
  </si>
  <si>
    <t xml:space="preserve">CBR+350bps</t>
  </si>
  <si>
    <t xml:space="preserve">CBR+400bps</t>
  </si>
  <si>
    <t xml:space="preserve">CBR+450bps</t>
  </si>
  <si>
    <t xml:space="preserve">CBR+500bps</t>
  </si>
  <si>
    <t xml:space="preserve">-0%</t>
  </si>
  <si>
    <t xml:space="preserve">-5%</t>
  </si>
  <si>
    <t xml:space="preserve">-10%</t>
  </si>
  <si>
    <t xml:space="preserve">-15%</t>
  </si>
  <si>
    <t xml:space="preserve">-20%</t>
  </si>
  <si>
    <t xml:space="preserve">-25%</t>
  </si>
  <si>
    <t xml:space="preserve">-30%</t>
  </si>
  <si>
    <t xml:space="preserve">Basis: Group NOI ÷ annual interest on the proposed KES 5.0bn facility only (CBR + spread; CBR per Sources and Assumptions). This is NOT the Group Interest Coverage on Ratio Analysis (NOI ÷ total Group finance costs; 3.86× in FY2025), so the two are not comparable. Group-level coverage under NOI stress is on Risk Assessment, Section C.</t>
  </si>
  <si>
    <t xml:space="preserve">TABLE 2: PAT (KES bn) — NPL Ratio vs Credit Loss Severity</t>
  </si>
  <si>
    <t xml:space="preserve">NPL Ratio ↓ / Loss Given Default →</t>
  </si>
  <si>
    <t xml:space="preserve">LGD 30%</t>
  </si>
  <si>
    <t xml:space="preserve">LGD 35%</t>
  </si>
  <si>
    <t xml:space="preserve">LGD 40%</t>
  </si>
  <si>
    <t xml:space="preserve">LGD 45%</t>
  </si>
  <si>
    <t xml:space="preserve">LGD 50%</t>
  </si>
  <si>
    <t xml:space="preserve">LGD 55%</t>
  </si>
  <si>
    <t xml:space="preserve">LGD 60%</t>
  </si>
  <si>
    <t xml:space="preserve">NPL 5%</t>
  </si>
  <si>
    <t xml:space="preserve">NPL 7%</t>
  </si>
  <si>
    <t xml:space="preserve">NPL 9%</t>
  </si>
  <si>
    <t xml:space="preserve">NPL 10%</t>
  </si>
  <si>
    <t xml:space="preserve">NPL 12%</t>
  </si>
  <si>
    <t xml:space="preserve">NPL 15%</t>
  </si>
  <si>
    <t xml:space="preserve">NPL 18%</t>
  </si>
  <si>
    <t xml:space="preserve">TABLE 3: DSCR (×) — Covenant Compliance Under Combined Stress (Covenant: ≥ 1.20×)</t>
  </si>
  <si>
    <t xml:space="preserve">NOI Decline ↓ / Additional Impair. →</t>
  </si>
  <si>
    <t xml:space="preserve">+KES 0bn</t>
  </si>
  <si>
    <t xml:space="preserve">+KES 2bn</t>
  </si>
  <si>
    <t xml:space="preserve">+KES 4bn</t>
  </si>
  <si>
    <t xml:space="preserve">+KES 6bn</t>
  </si>
  <si>
    <t xml:space="preserve">+KES 8bn</t>
  </si>
  <si>
    <t xml:space="preserve">+KES 10bn</t>
  </si>
  <si>
    <t xml:space="preserve">+KES 12bn</t>
  </si>
  <si>
    <t xml:space="preserve">NOI -0%</t>
  </si>
  <si>
    <t xml:space="preserve">NOI -5%</t>
  </si>
  <si>
    <t xml:space="preserve">NOI -10%</t>
  </si>
  <si>
    <t xml:space="preserve">NOI -15%</t>
  </si>
  <si>
    <t xml:space="preserve">NOI -20%</t>
  </si>
  <si>
    <t xml:space="preserve">NOI -25%</t>
  </si>
  <si>
    <t xml:space="preserve">NOI -30%</t>
  </si>
  <si>
    <t xml:space="preserve">LEGEND</t>
  </si>
  <si>
    <t xml:space="preserve">GREEN — Covenant compliant with comfortable headroom (&gt;20% buffer)</t>
  </si>
  <si>
    <t xml:space="preserve">YELLOW — Covenant at risk — watch trigger (10–20% buffer)</t>
  </si>
  <si>
    <t xml:space="preserve">RED — Covenant breach — event of default triggered</t>
  </si>
  <si>
    <t xml:space="preserve">SOURCES AND ASSUMPTIONS — NCBA GROUP PLC CREDIT CASE STUDY</t>
  </si>
  <si>
    <t xml:space="preserve">A. SOURCES (PUBLIC INFORMATION)</t>
  </si>
  <si>
    <t xml:space="preserve">#</t>
  </si>
  <si>
    <t xml:space="preserve">Source</t>
  </si>
  <si>
    <t xml:space="preserve">Period</t>
  </si>
  <si>
    <t xml:space="preserve">Where used in this model</t>
  </si>
  <si>
    <t xml:space="preserve">NCBA Group PLC — Annual Report &amp; Audited Financial Statements</t>
  </si>
  <si>
    <t xml:space="preserve">Financial Statements (FY2023 column); Ratio Analysis (FY2023); trend and CAGR calculations</t>
  </si>
  <si>
    <t xml:space="preserve">Financial Statements (FY2024 column); Ratio Analysis (FY2024); year-on-year comparisons</t>
  </si>
  <si>
    <t xml:space="preserve">FY2025 (year ended 31 Dec 2025)</t>
  </si>
  <si>
    <t xml:space="preserve">Financial Statements (FY2025 column); Ratio Analysis (FY2025); Credit Memo; Borrower Profile; all stress tests</t>
  </si>
  <si>
    <t xml:space="preserve">Analyst estimates / illustrative inputs</t>
  </si>
  <si>
    <t xml:space="preserve">n/a</t>
  </si>
  <si>
    <t xml:space="preserve">NSFR and LCR (marked "est."), top-20 loan concentration, employee count, RAROC range, comparable-transaction pricing, and the facility terms themselves. These are not taken from the annual reports.</t>
  </si>
  <si>
    <t xml:space="preserve">Regulatory minima quoted in covenants (CAR 14.5%, Tier 1 10.5%)</t>
  </si>
  <si>
    <t xml:space="preserve">As assumed in the model</t>
  </si>
  <si>
    <t xml:space="preserve">Ratio Analysis benchmarks; Lending Recommendation covenant triggers. Verify against current CBK prudential guidelines before relying on them.</t>
  </si>
  <si>
    <t xml:space="preserve">B. FACILITY &amp; PRICING ASSUMPTIONS  (blue = input; change here and linked cells update)</t>
  </si>
  <si>
    <t xml:space="preserve">Assumption</t>
  </si>
  <si>
    <t xml:space="preserve">Value</t>
  </si>
  <si>
    <t xml:space="preserve">Basis / notes</t>
  </si>
  <si>
    <t xml:space="preserve">B1</t>
  </si>
  <si>
    <t xml:space="preserve">Central Bank Rate (CBR)</t>
  </si>
  <si>
    <t xml:space="preserve">Assumed at 10.0% for illustration. This is a modelling assumption, not a forecast or the prevailing CBK rate on any given date. Drives Sensitivity Analysis Table 1.</t>
  </si>
  <si>
    <t xml:space="preserve">B2</t>
  </si>
  <si>
    <t xml:space="preserve">Credit margin over CBR</t>
  </si>
  <si>
    <t xml:space="preserve">350 bps, floating, quarterly reset (see Lending Recommendation, Section E for build-up)</t>
  </si>
  <si>
    <t xml:space="preserve">B3</t>
  </si>
  <si>
    <t xml:space="preserve">All-in interest rate</t>
  </si>
  <si>
    <t xml:space="preserve">CBR + margin; ties to the ~13.5% pa quoted on Credit Memo and Lending Recommendation</t>
  </si>
  <si>
    <t xml:space="preserve">B4</t>
  </si>
  <si>
    <t xml:space="preserve">Facility amount (KES '000)</t>
  </si>
  <si>
    <t xml:space="preserve">KES 5.0 billion, in KES '000 to match the Financial Statements sheet</t>
  </si>
  <si>
    <t xml:space="preserve">B5</t>
  </si>
  <si>
    <t xml:space="preserve">Tenor (months)</t>
  </si>
  <si>
    <t xml:space="preserve">From first drawdown; bullet repayment at maturity, quarterly interest</t>
  </si>
  <si>
    <t xml:space="preserve">B6</t>
  </si>
  <si>
    <t xml:space="preserve">Availability period (months)</t>
  </si>
  <si>
    <t xml:space="preserve">Commitment fee accrues during this period only</t>
  </si>
  <si>
    <t xml:space="preserve">B7</t>
  </si>
  <si>
    <t xml:space="preserve">Arrangement fee (% flat of facility)</t>
  </si>
  <si>
    <t xml:space="preserve">1.00% flat; KES 50mn on KES 5.0bn. Payable as a condition precedent.</t>
  </si>
  <si>
    <t xml:space="preserve">B8</t>
  </si>
  <si>
    <t xml:space="preserve">Commitment fee (% pa on undrawn)</t>
  </si>
  <si>
    <t xml:space="preserve">0.50% pa on undrawn amounts during the availability period</t>
  </si>
  <si>
    <t xml:space="preserve">B9</t>
  </si>
  <si>
    <t xml:space="preserve">Default margin (over contract rate)</t>
  </si>
  <si>
    <t xml:space="preserve">+300 bps on overdue amounts</t>
  </si>
  <si>
    <t xml:space="preserve">C. YEAR-1 REVENUE CHECK (KES mn)  — ties to Lending Recommendation, Section E</t>
  </si>
  <si>
    <t xml:space="preserve">Component</t>
  </si>
  <si>
    <t xml:space="preserve">KES mn</t>
  </si>
  <si>
    <t xml:space="preserve">Calculation</t>
  </si>
  <si>
    <t xml:space="preserve">C1</t>
  </si>
  <si>
    <t xml:space="preserve">Interest income</t>
  </si>
  <si>
    <t xml:space="preserve">Facility × all-in rate × 12 months (assumes fully drawn for the year)</t>
  </si>
  <si>
    <t xml:space="preserve">C2</t>
  </si>
  <si>
    <t xml:space="preserve">Arrangement fee</t>
  </si>
  <si>
    <t xml:space="preserve">Facility × arrangement fee %</t>
  </si>
  <si>
    <t xml:space="preserve">C3</t>
  </si>
  <si>
    <t xml:space="preserve">Commitment fee</t>
  </si>
  <si>
    <t xml:space="preserve">Facility × commitment fee % × availability period ÷ 12 (assumes fully undrawn during availability period)</t>
  </si>
  <si>
    <t xml:space="preserve">C4</t>
  </si>
  <si>
    <t xml:space="preserve">Total Year-1 revenue</t>
  </si>
  <si>
    <t xml:space="preserve">Memo figure on Lending Recommendation: KES 737.5mn</t>
  </si>
  <si>
    <t xml:space="preserve">C5</t>
  </si>
  <si>
    <t xml:space="preserve">Simplification</t>
  </si>
  <si>
    <t xml:space="preserve">Interest assumes the full facility is drawn for 12 months while the commitment fee assumes it is undrawn for 6 months. The total is therefore an upper-bound illustration, not a drawdown schedule.</t>
  </si>
  <si>
    <t xml:space="preserve">D. INTEREST COVERAGE — TWO DIFFERENT MEASURES</t>
  </si>
  <si>
    <t xml:space="preserve">Measure</t>
  </si>
  <si>
    <t xml:space="preserve">FY2025 (base case)</t>
  </si>
  <si>
    <t xml:space="preserve">Definition</t>
  </si>
  <si>
    <t xml:space="preserve">D1</t>
  </si>
  <si>
    <t xml:space="preserve">Group interest coverage</t>
  </si>
  <si>
    <t xml:space="preserve">Group Net Operating Income ÷ total Group finance costs. Used for the covenant test (≥ 2.50×), Ratio Analysis and the Risk Assessment stress test.</t>
  </si>
  <si>
    <t xml:space="preserve">D2</t>
  </si>
  <si>
    <t xml:space="preserve">Facility interest coverage</t>
  </si>
  <si>
    <t xml:space="preserve">Group Net Operating Income ÷ annual interest on the proposed KES 5.0bn facility only (at CBR + 350 bps). Used in Sensitivity Analysis Table 1. Far larger than D1 because the denominator is one facility, not the whole Group funding cost.</t>
  </si>
  <si>
    <t xml:space="preserve">D3</t>
  </si>
  <si>
    <t xml:space="preserve">Comparability</t>
  </si>
  <si>
    <t xml:space="preserve">The two measures answer different questions and should not be compared directly. Group coverage tests the borrower's overall resilience; facility coverage shows how small the new debt is relative to earnings.</t>
  </si>
  <si>
    <t xml:space="preserve">E. DATA CONVENTIONS &amp; LIMITATIONS</t>
  </si>
  <si>
    <t xml:space="preserve">E1</t>
  </si>
  <si>
    <t xml:space="preserve">Financial Statements and Ratio Analysis are in KES '000 unless a label says otherwise.</t>
  </si>
  <si>
    <t xml:space="preserve">E2</t>
  </si>
  <si>
    <t xml:space="preserve">Ratios are entered values taken from the analyst's workings, except where a cell is a formula. Estimated ratios are labelled "est.".</t>
  </si>
  <si>
    <t xml:space="preserve">E3</t>
  </si>
  <si>
    <t xml:space="preserve">Some FY2023 inputs are rounded and have not been reconciled line-by-line to the annual report.</t>
  </si>
  <si>
    <t xml:space="preserve">E4</t>
  </si>
  <si>
    <t xml:space="preserve">The facility, its terms, fees, covenants and the credit decision are hypothetical. "Hypothetical Lender" is a placeholder and does not refer to any real institution.</t>
  </si>
  <si>
    <t xml:space="preserve">E5</t>
  </si>
  <si>
    <t xml:space="preserve">This workbook is an educational exercise and is not investment, credit or legal advice.</t>
  </si>
</sst>
</file>

<file path=xl/styles.xml><?xml version="1.0" encoding="utf-8"?>
<styleSheet xmlns="http://schemas.openxmlformats.org/spreadsheetml/2006/main">
  <numFmts count="12">
    <numFmt numFmtId="164" formatCode="General"/>
    <numFmt numFmtId="165" formatCode="#,##0"/>
    <numFmt numFmtId="166" formatCode="0.0%"/>
    <numFmt numFmtId="167" formatCode="#,##0.00"/>
    <numFmt numFmtId="168" formatCode="0.00\x"/>
    <numFmt numFmtId="169" formatCode="0.00\×"/>
    <numFmt numFmtId="170" formatCode="0.0&quot;bn&quot;"/>
    <numFmt numFmtId="171" formatCode="0.00%"/>
    <numFmt numFmtId="172" formatCode="0"/>
    <numFmt numFmtId="173" formatCode="#,##0.0"/>
    <numFmt numFmtId="174" formatCode="0.00\×"/>
    <numFmt numFmtId="175" formatCode="0.0\×"/>
  </numFmts>
  <fonts count="23">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i val="true"/>
      <sz val="10"/>
      <color rgb="FF9C0006"/>
      <name val="Calibri"/>
      <family val="0"/>
      <charset val="1"/>
    </font>
    <font>
      <b val="true"/>
      <sz val="9"/>
      <color rgb="FFFFFFFF"/>
      <name val="Calibri"/>
      <family val="0"/>
      <charset val="1"/>
    </font>
    <font>
      <sz val="9"/>
      <color rgb="FF000000"/>
      <name val="Calibri"/>
      <family val="0"/>
      <charset val="1"/>
    </font>
    <font>
      <b val="true"/>
      <sz val="9"/>
      <color rgb="FF000000"/>
      <name val="Calibri"/>
      <family val="0"/>
      <charset val="1"/>
    </font>
    <font>
      <sz val="9"/>
      <name val="Calibri"/>
      <family val="0"/>
      <charset val="1"/>
    </font>
    <font>
      <i val="true"/>
      <sz val="9"/>
      <color rgb="FF595959"/>
      <name val="Calibri"/>
      <family val="0"/>
      <charset val="1"/>
    </font>
    <font>
      <sz val="9"/>
      <color rgb="FF0000FF"/>
      <name val="Calibri"/>
      <family val="0"/>
      <charset val="1"/>
    </font>
    <font>
      <b val="true"/>
      <sz val="9"/>
      <color rgb="FF0000FF"/>
      <name val="Calibri"/>
      <family val="0"/>
      <charset val="1"/>
    </font>
    <font>
      <b val="true"/>
      <sz val="9"/>
      <color rgb="FF276221"/>
      <name val="Calibri"/>
      <family val="0"/>
      <charset val="1"/>
    </font>
    <font>
      <i val="true"/>
      <sz val="8"/>
      <color rgb="FF595959"/>
      <name val="Calibri"/>
      <family val="0"/>
      <charset val="1"/>
    </font>
    <font>
      <b val="true"/>
      <sz val="9"/>
      <color rgb="FF9C0006"/>
      <name val="Calibri"/>
      <family val="0"/>
      <charset val="1"/>
    </font>
    <font>
      <b val="true"/>
      <sz val="10"/>
      <color rgb="FF000000"/>
      <name val="Calibri"/>
      <family val="0"/>
      <charset val="1"/>
    </font>
    <font>
      <b val="true"/>
      <sz val="9"/>
      <color rgb="FF9C6500"/>
      <name val="Calibri"/>
      <family val="0"/>
      <charset val="1"/>
    </font>
    <font>
      <b val="true"/>
      <sz val="16"/>
      <color rgb="FF276221"/>
      <name val="Calibri"/>
      <family val="0"/>
      <charset val="1"/>
    </font>
    <font>
      <sz val="9"/>
      <color rgb="FF276221"/>
      <name val="Calibri"/>
      <family val="0"/>
      <charset val="1"/>
    </font>
    <font>
      <b val="true"/>
      <sz val="10"/>
      <color rgb="FF9C0006"/>
      <name val="Calibri"/>
      <family val="0"/>
      <charset val="1"/>
    </font>
    <font>
      <b val="true"/>
      <sz val="9"/>
      <name val="Calibri"/>
      <family val="0"/>
      <charset val="1"/>
    </font>
    <font>
      <b val="true"/>
      <sz val="9"/>
      <color rgb="FF008000"/>
      <name val="Calibri"/>
      <family val="0"/>
      <charset val="1"/>
    </font>
  </fonts>
  <fills count="8">
    <fill>
      <patternFill patternType="none"/>
    </fill>
    <fill>
      <patternFill patternType="gray125"/>
    </fill>
    <fill>
      <patternFill patternType="solid">
        <fgColor rgb="FF7B0000"/>
        <bgColor rgb="FF9C0006"/>
      </patternFill>
    </fill>
    <fill>
      <patternFill patternType="solid">
        <fgColor rgb="FFD3D3D3"/>
        <bgColor rgb="FFDCE6F1"/>
      </patternFill>
    </fill>
    <fill>
      <patternFill patternType="solid">
        <fgColor rgb="FFDCE6F1"/>
        <bgColor rgb="FFC6EFCE"/>
      </patternFill>
    </fill>
    <fill>
      <patternFill patternType="solid">
        <fgColor rgb="FFC6EFCE"/>
        <bgColor rgb="FFDCE6F1"/>
      </patternFill>
    </fill>
    <fill>
      <patternFill patternType="solid">
        <fgColor rgb="FFFFC7CE"/>
        <bgColor rgb="FFD3D3D3"/>
      </patternFill>
    </fill>
    <fill>
      <patternFill patternType="solid">
        <fgColor rgb="FFFFEB9C"/>
        <bgColor rgb="FFFFFFCC"/>
      </patternFill>
    </fill>
  </fills>
  <borders count="3">
    <border diagonalUp="false" diagonalDown="false">
      <left/>
      <right/>
      <top/>
      <bottom/>
      <diagonal/>
    </border>
    <border diagonalUp="false" diagonalDown="false">
      <left/>
      <right/>
      <top/>
      <bottom style="mediu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2" borderId="0" xfId="0" applyFont="true" applyBorder="tru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8" fillId="3" borderId="0" xfId="0" applyFont="true" applyBorder="false" applyAlignment="true" applyProtection="false">
      <alignment horizontal="center" vertical="top" textRotation="0" wrapText="true" indent="0" shrinkToFit="false"/>
      <protection locked="true" hidden="false"/>
    </xf>
    <xf numFmtId="164" fontId="8" fillId="3" borderId="0" xfId="0" applyFont="true" applyBorder="false" applyAlignment="true" applyProtection="false">
      <alignment horizontal="left" vertical="top" textRotation="0" wrapText="false" indent="0" shrinkToFit="false"/>
      <protection locked="true" hidden="false"/>
    </xf>
    <xf numFmtId="164" fontId="7" fillId="3"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5" fontId="11" fillId="0" borderId="0" xfId="0" applyFont="true" applyBorder="false" applyAlignment="true" applyProtection="false">
      <alignment horizontal="right" vertical="top" textRotation="0" wrapText="false" indent="0" shrinkToFit="false"/>
      <protection locked="true" hidden="false"/>
    </xf>
    <xf numFmtId="166" fontId="7" fillId="0" borderId="0" xfId="0" applyFont="true" applyBorder="false" applyAlignment="true" applyProtection="false">
      <alignment horizontal="right" vertical="top" textRotation="0" wrapText="false" indent="0" shrinkToFit="false"/>
      <protection locked="true" hidden="false"/>
    </xf>
    <xf numFmtId="164" fontId="8" fillId="4" borderId="0" xfId="0" applyFont="true" applyBorder="false" applyAlignment="true" applyProtection="false">
      <alignment horizontal="left" vertical="top" textRotation="0" wrapText="false" indent="0" shrinkToFit="false"/>
      <protection locked="true" hidden="false"/>
    </xf>
    <xf numFmtId="165" fontId="12" fillId="4" borderId="1" xfId="0" applyFont="true" applyBorder="true" applyAlignment="true" applyProtection="false">
      <alignment horizontal="right" vertical="top" textRotation="0" wrapText="false" indent="0" shrinkToFit="false"/>
      <protection locked="true" hidden="false"/>
    </xf>
    <xf numFmtId="166" fontId="7" fillId="4" borderId="0" xfId="0" applyFont="true" applyBorder="false" applyAlignment="true" applyProtection="false">
      <alignment horizontal="right" vertical="top" textRotation="0" wrapText="false" indent="0" shrinkToFit="false"/>
      <protection locked="true" hidden="false"/>
    </xf>
    <xf numFmtId="167" fontId="11" fillId="0" borderId="0" xfId="0" applyFont="true" applyBorder="false" applyAlignment="true" applyProtection="false">
      <alignment horizontal="right" vertical="top" textRotation="0" wrapText="false" indent="0" shrinkToFit="false"/>
      <protection locked="true" hidden="false"/>
    </xf>
    <xf numFmtId="164" fontId="0" fillId="4" borderId="0" xfId="0" applyFont="fals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1"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68" fontId="13" fillId="5"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6" fontId="13" fillId="5" borderId="0" xfId="0" applyFont="true" applyBorder="false" applyAlignment="true" applyProtection="false">
      <alignment horizontal="right" vertical="bottom" textRotation="0" wrapText="false" indent="0" shrinkToFit="false"/>
      <protection locked="true" hidden="false"/>
    </xf>
    <xf numFmtId="166" fontId="15" fillId="6"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9" fontId="13"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9" fontId="17" fillId="0"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9" fontId="1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true" applyAlignment="true" applyProtection="false">
      <alignment horizontal="center"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9" fontId="13" fillId="5"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70" fontId="15" fillId="6" borderId="0" xfId="0" applyFont="true" applyBorder="false" applyAlignment="true" applyProtection="false">
      <alignment horizontal="center" vertical="bottom" textRotation="0" wrapText="false" indent="0" shrinkToFit="false"/>
      <protection locked="true" hidden="false"/>
    </xf>
    <xf numFmtId="169" fontId="17" fillId="7" borderId="0" xfId="0" applyFont="true" applyBorder="false" applyAlignment="true" applyProtection="false">
      <alignment horizontal="center" vertical="bottom" textRotation="0" wrapText="false" indent="0" shrinkToFit="false"/>
      <protection locked="true" hidden="false"/>
    </xf>
    <xf numFmtId="169" fontId="15" fillId="6" borderId="0" xfId="0" applyFont="true" applyBorder="false" applyAlignment="true" applyProtection="false">
      <alignment horizontal="center" vertical="bottom" textRotation="0" wrapText="false" indent="0" shrinkToFit="false"/>
      <protection locked="true" hidden="false"/>
    </xf>
    <xf numFmtId="164" fontId="13" fillId="5" borderId="0" xfId="0" applyFont="true" applyBorder="true" applyAlignment="false" applyProtection="false">
      <alignment horizontal="general" vertical="bottom" textRotation="0" wrapText="false" indent="0" shrinkToFit="false"/>
      <protection locked="true" hidden="false"/>
    </xf>
    <xf numFmtId="164" fontId="17" fillId="7" borderId="0" xfId="0" applyFont="true" applyBorder="true" applyAlignment="false" applyProtection="false">
      <alignment horizontal="general" vertical="bottom" textRotation="0" wrapText="false" indent="0" shrinkToFit="false"/>
      <protection locked="true" hidden="false"/>
    </xf>
    <xf numFmtId="164" fontId="15" fillId="6"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false" indent="0" shrinkToFit="false"/>
      <protection locked="true" hidden="false"/>
    </xf>
    <xf numFmtId="164" fontId="21" fillId="3" borderId="2" xfId="0" applyFont="true" applyBorder="true" applyAlignment="true" applyProtection="false">
      <alignment horizontal="center" vertical="center" textRotation="0" wrapText="true" indent="0" shrinkToFit="false"/>
      <protection locked="true" hidden="false"/>
    </xf>
    <xf numFmtId="164" fontId="21" fillId="3" borderId="2" xfId="0" applyFont="true" applyBorder="true" applyAlignment="true" applyProtection="false">
      <alignment horizontal="center" vertical="top" textRotation="0" wrapText="true" indent="0" shrinkToFit="false"/>
      <protection locked="true" hidden="false"/>
    </xf>
    <xf numFmtId="164" fontId="21" fillId="4"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71" fontId="12" fillId="0" borderId="2" xfId="0" applyFont="true" applyBorder="true" applyAlignment="true" applyProtection="false">
      <alignment horizontal="center" vertical="top" textRotation="0" wrapText="true" indent="0" shrinkToFit="false"/>
      <protection locked="true" hidden="false"/>
    </xf>
    <xf numFmtId="171" fontId="8" fillId="0" borderId="2" xfId="0" applyFont="true" applyBorder="true" applyAlignment="true" applyProtection="false">
      <alignment horizontal="center" vertical="top" textRotation="0" wrapText="true" indent="0" shrinkToFit="false"/>
      <protection locked="true" hidden="false"/>
    </xf>
    <xf numFmtId="165" fontId="12" fillId="0" borderId="2" xfId="0" applyFont="true" applyBorder="true" applyAlignment="true" applyProtection="false">
      <alignment horizontal="center" vertical="top" textRotation="0" wrapText="true" indent="0" shrinkToFit="false"/>
      <protection locked="true" hidden="false"/>
    </xf>
    <xf numFmtId="172" fontId="12" fillId="0" borderId="2" xfId="0" applyFont="true" applyBorder="true" applyAlignment="true" applyProtection="false">
      <alignment horizontal="center" vertical="top" textRotation="0" wrapText="true" indent="0" shrinkToFit="false"/>
      <protection locked="true" hidden="false"/>
    </xf>
    <xf numFmtId="173" fontId="8" fillId="0" borderId="2" xfId="0" applyFont="true" applyBorder="true" applyAlignment="true" applyProtection="false">
      <alignment horizontal="center" vertical="top" textRotation="0" wrapText="true" indent="0" shrinkToFit="false"/>
      <protection locked="true" hidden="false"/>
    </xf>
    <xf numFmtId="173" fontId="21" fillId="0" borderId="2" xfId="0" applyFont="true" applyBorder="true" applyAlignment="true" applyProtection="false">
      <alignment horizontal="center" vertical="top" textRotation="0" wrapText="true" indent="0" shrinkToFit="false"/>
      <protection locked="true" hidden="false"/>
    </xf>
    <xf numFmtId="174" fontId="22" fillId="0" borderId="2" xfId="0" applyFont="true" applyBorder="true" applyAlignment="true" applyProtection="false">
      <alignment horizontal="center" vertical="top" textRotation="0" wrapText="true" indent="0" shrinkToFit="false"/>
      <protection locked="true" hidden="false"/>
    </xf>
    <xf numFmtId="175" fontId="22" fillId="0" borderId="2" xfId="0" applyFont="true" applyBorder="true" applyAlignment="true" applyProtection="false">
      <alignment horizontal="center" vertical="top" textRotation="0" wrapText="true" indent="0" shrinkToFit="false"/>
      <protection locked="true" hidden="false"/>
    </xf>
    <xf numFmtId="164" fontId="21" fillId="3" borderId="2" xfId="0" applyFont="true" applyBorder="true" applyAlignment="true" applyProtection="false">
      <alignment horizontal="center"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B0000"/>
      <rgbColor rgb="FF008000"/>
      <rgbColor rgb="FF000080"/>
      <rgbColor rgb="FF9C6500"/>
      <rgbColor rgb="FF800080"/>
      <rgbColor rgb="FF008080"/>
      <rgbColor rgb="FFBFBFBF"/>
      <rgbColor rgb="FF808080"/>
      <rgbColor rgb="FF9999FF"/>
      <rgbColor rgb="FF993366"/>
      <rgbColor rgb="FFFFFFCC"/>
      <rgbColor rgb="FFDCE6F1"/>
      <rgbColor rgb="FF4B0082"/>
      <rgbColor rgb="FFFF8080"/>
      <rgbColor rgb="FF0066CC"/>
      <rgbColor rgb="FFD3D3D3"/>
      <rgbColor rgb="FF000080"/>
      <rgbColor rgb="FFFF00FF"/>
      <rgbColor rgb="FFFFFF00"/>
      <rgbColor rgb="FF00FFFF"/>
      <rgbColor rgb="FF800080"/>
      <rgbColor rgb="FF9C0006"/>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762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66796875" defaultRowHeight="14.2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3" min="3" style="0" width="75.67"/>
  </cols>
  <sheetData>
    <row r="1" customFormat="false" ht="24" hidden="false" customHeight="true" outlineLevel="0" collapsed="false">
      <c r="A1" s="1" t="s">
        <v>0</v>
      </c>
      <c r="B1" s="1"/>
      <c r="C1" s="1"/>
    </row>
    <row r="2" customFormat="false" ht="14.25" hidden="false" customHeight="false" outlineLevel="0" collapsed="false">
      <c r="A2" s="2" t="s">
        <v>1</v>
      </c>
      <c r="B2" s="2"/>
      <c r="C2" s="2"/>
    </row>
    <row r="4" customFormat="false" ht="15.75" hidden="false" customHeight="true" outlineLevel="0" collapsed="false">
      <c r="A4" s="3" t="s">
        <v>2</v>
      </c>
      <c r="B4" s="3"/>
      <c r="C4" s="4"/>
    </row>
    <row r="5" customFormat="false" ht="15.75" hidden="false" customHeight="true" outlineLevel="0" collapsed="false">
      <c r="B5" s="5" t="s">
        <v>3</v>
      </c>
      <c r="C5" s="6" t="s">
        <v>4</v>
      </c>
    </row>
    <row r="6" customFormat="false" ht="15.75" hidden="false" customHeight="true" outlineLevel="0" collapsed="false">
      <c r="B6" s="5" t="s">
        <v>5</v>
      </c>
      <c r="C6" s="6" t="s">
        <v>6</v>
      </c>
    </row>
    <row r="7" customFormat="false" ht="15.75" hidden="false" customHeight="true" outlineLevel="0" collapsed="false">
      <c r="B7" s="5" t="s">
        <v>7</v>
      </c>
      <c r="C7" s="6" t="s">
        <v>8</v>
      </c>
    </row>
    <row r="8" customFormat="false" ht="15.75" hidden="false" customHeight="true" outlineLevel="0" collapsed="false">
      <c r="B8" s="5" t="s">
        <v>9</v>
      </c>
      <c r="C8" s="6" t="s">
        <v>10</v>
      </c>
    </row>
    <row r="9" customFormat="false" ht="15.75" hidden="false" customHeight="true" outlineLevel="0" collapsed="false">
      <c r="B9" s="5" t="s">
        <v>11</v>
      </c>
      <c r="C9" s="6" t="s">
        <v>12</v>
      </c>
    </row>
    <row r="10" customFormat="false" ht="15.75" hidden="false" customHeight="true" outlineLevel="0" collapsed="false">
      <c r="B10" s="5" t="s">
        <v>13</v>
      </c>
      <c r="C10" s="6" t="s">
        <v>14</v>
      </c>
    </row>
    <row r="11" customFormat="false" ht="15.75" hidden="false" customHeight="true" outlineLevel="0" collapsed="false">
      <c r="B11" s="5" t="s">
        <v>15</v>
      </c>
      <c r="C11" s="6" t="s">
        <v>16</v>
      </c>
    </row>
    <row r="12" customFormat="false" ht="15.75" hidden="false" customHeight="true" outlineLevel="0" collapsed="false">
      <c r="B12" s="5" t="s">
        <v>17</v>
      </c>
      <c r="C12" s="6" t="s">
        <v>18</v>
      </c>
    </row>
    <row r="13" customFormat="false" ht="15.75" hidden="false" customHeight="true" outlineLevel="0" collapsed="false">
      <c r="B13" s="5" t="s">
        <v>19</v>
      </c>
      <c r="C13" s="6" t="s">
        <v>20</v>
      </c>
    </row>
    <row r="14" customFormat="false" ht="15.75" hidden="false" customHeight="true" outlineLevel="0" collapsed="false">
      <c r="B14" s="5" t="s">
        <v>21</v>
      </c>
      <c r="C14" s="6" t="s">
        <v>22</v>
      </c>
    </row>
    <row r="15" customFormat="false" ht="15.75" hidden="false" customHeight="true" outlineLevel="0" collapsed="false">
      <c r="B15" s="5" t="s">
        <v>23</v>
      </c>
      <c r="C15" s="6" t="s">
        <v>24</v>
      </c>
    </row>
    <row r="16" customFormat="false" ht="15.75" hidden="false" customHeight="true" outlineLevel="0" collapsed="false">
      <c r="B16" s="5" t="s">
        <v>25</v>
      </c>
      <c r="C16" s="6" t="s">
        <v>26</v>
      </c>
    </row>
    <row r="17" customFormat="false" ht="15.75" hidden="false" customHeight="true" outlineLevel="0" collapsed="false">
      <c r="B17" s="5" t="s">
        <v>27</v>
      </c>
      <c r="C17" s="6" t="s">
        <v>28</v>
      </c>
    </row>
    <row r="18" customFormat="false" ht="15.75" hidden="false" customHeight="true" outlineLevel="0" collapsed="false">
      <c r="B18" s="5" t="s">
        <v>29</v>
      </c>
      <c r="C18" s="6" t="s">
        <v>30</v>
      </c>
    </row>
    <row r="19" customFormat="false" ht="15.75" hidden="false" customHeight="true" outlineLevel="0" collapsed="false">
      <c r="B19" s="5" t="s">
        <v>31</v>
      </c>
      <c r="C19" s="6" t="s">
        <v>32</v>
      </c>
    </row>
    <row r="20" customFormat="false" ht="15.75" hidden="false" customHeight="true" outlineLevel="0" collapsed="false">
      <c r="B20" s="5" t="s">
        <v>33</v>
      </c>
      <c r="C20" s="6" t="s">
        <v>34</v>
      </c>
    </row>
    <row r="21" customFormat="false" ht="15.75" hidden="false" customHeight="true" outlineLevel="0" collapsed="false">
      <c r="B21" s="5" t="s">
        <v>35</v>
      </c>
      <c r="C21" s="6" t="s">
        <v>36</v>
      </c>
    </row>
    <row r="22" customFormat="false" ht="15.75" hidden="false" customHeight="true" outlineLevel="0" collapsed="false">
      <c r="B22" s="5" t="s">
        <v>37</v>
      </c>
      <c r="C22" s="6" t="s">
        <v>38</v>
      </c>
    </row>
    <row r="23" customFormat="false" ht="15.75" hidden="false" customHeight="true" outlineLevel="0" collapsed="false">
      <c r="B23" s="5" t="s">
        <v>39</v>
      </c>
      <c r="C23" s="6" t="s">
        <v>40</v>
      </c>
    </row>
    <row r="25" customFormat="false" ht="15.75" hidden="false" customHeight="true" outlineLevel="0" collapsed="false">
      <c r="A25" s="7" t="s">
        <v>41</v>
      </c>
      <c r="B25" s="8"/>
      <c r="C25" s="8"/>
    </row>
    <row r="26" customFormat="false" ht="99.75" hidden="false" customHeight="true" outlineLevel="0" collapsed="false">
      <c r="B26" s="9" t="s">
        <v>42</v>
      </c>
      <c r="C26" s="9"/>
    </row>
    <row r="28" customFormat="false" ht="15.75" hidden="false" customHeight="true" outlineLevel="0" collapsed="false">
      <c r="A28" s="7" t="s">
        <v>43</v>
      </c>
      <c r="B28" s="8"/>
      <c r="C28" s="8"/>
    </row>
    <row r="29" customFormat="false" ht="15" hidden="false" customHeight="true" outlineLevel="0" collapsed="false">
      <c r="A29" s="10" t="s">
        <v>44</v>
      </c>
      <c r="B29" s="11" t="s">
        <v>45</v>
      </c>
      <c r="C29" s="6" t="s">
        <v>46</v>
      </c>
    </row>
    <row r="30" customFormat="false" ht="15" hidden="false" customHeight="true" outlineLevel="0" collapsed="false">
      <c r="A30" s="10" t="s">
        <v>47</v>
      </c>
      <c r="B30" s="11" t="s">
        <v>48</v>
      </c>
      <c r="C30" s="6" t="s">
        <v>49</v>
      </c>
    </row>
    <row r="31" customFormat="false" ht="15" hidden="false" customHeight="true" outlineLevel="0" collapsed="false">
      <c r="A31" s="10" t="s">
        <v>50</v>
      </c>
      <c r="B31" s="11" t="s">
        <v>51</v>
      </c>
      <c r="C31" s="6" t="s">
        <v>52</v>
      </c>
    </row>
    <row r="32" customFormat="false" ht="15" hidden="false" customHeight="true" outlineLevel="0" collapsed="false">
      <c r="A32" s="10" t="s">
        <v>53</v>
      </c>
      <c r="B32" s="11" t="s">
        <v>54</v>
      </c>
      <c r="C32" s="6" t="s">
        <v>55</v>
      </c>
    </row>
    <row r="33" customFormat="false" ht="15" hidden="false" customHeight="true" outlineLevel="0" collapsed="false">
      <c r="A33" s="10" t="s">
        <v>56</v>
      </c>
      <c r="B33" s="11" t="s">
        <v>57</v>
      </c>
      <c r="C33" s="6" t="s">
        <v>58</v>
      </c>
    </row>
    <row r="34" customFormat="false" ht="15" hidden="false" customHeight="true" outlineLevel="0" collapsed="false">
      <c r="A34" s="10" t="s">
        <v>59</v>
      </c>
      <c r="B34" s="11" t="s">
        <v>60</v>
      </c>
      <c r="C34" s="6" t="s">
        <v>61</v>
      </c>
    </row>
    <row r="35" customFormat="false" ht="15" hidden="false" customHeight="true" outlineLevel="0" collapsed="false">
      <c r="A35" s="10" t="s">
        <v>62</v>
      </c>
      <c r="B35" s="11" t="s">
        <v>63</v>
      </c>
      <c r="C35" s="6" t="s">
        <v>64</v>
      </c>
    </row>
    <row r="36" customFormat="false" ht="15" hidden="false" customHeight="true" outlineLevel="0" collapsed="false">
      <c r="A36" s="10" t="s">
        <v>65</v>
      </c>
      <c r="B36" s="11" t="s">
        <v>66</v>
      </c>
      <c r="C36" s="6" t="s">
        <v>67</v>
      </c>
    </row>
  </sheetData>
  <mergeCells count="3">
    <mergeCell ref="A1:C1"/>
    <mergeCell ref="A2:C2"/>
    <mergeCell ref="B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86.56"/>
  </cols>
  <sheetData>
    <row r="1" customFormat="false" ht="24" hidden="false" customHeight="true" outlineLevel="0" collapsed="false">
      <c r="A1" s="1" t="s">
        <v>68</v>
      </c>
      <c r="B1" s="1"/>
      <c r="C1" s="1"/>
    </row>
    <row r="2" customFormat="false" ht="14.25" hidden="false" customHeight="false" outlineLevel="0" collapsed="false">
      <c r="A2" s="12" t="s">
        <v>69</v>
      </c>
    </row>
    <row r="4" customFormat="false" ht="15.75" hidden="false" customHeight="true" outlineLevel="0" collapsed="false">
      <c r="A4" s="7" t="s">
        <v>70</v>
      </c>
      <c r="B4" s="8"/>
      <c r="C4" s="8"/>
    </row>
    <row r="5" customFormat="false" ht="15.75" hidden="false" customHeight="true" outlineLevel="0" collapsed="false">
      <c r="B5" s="5" t="s">
        <v>71</v>
      </c>
      <c r="C5" s="13" t="s">
        <v>4</v>
      </c>
    </row>
    <row r="6" customFormat="false" ht="15.75" hidden="false" customHeight="true" outlineLevel="0" collapsed="false">
      <c r="B6" s="5" t="s">
        <v>72</v>
      </c>
      <c r="C6" s="13" t="s">
        <v>73</v>
      </c>
    </row>
    <row r="7" customFormat="false" ht="15.75" hidden="false" customHeight="true" outlineLevel="0" collapsed="false">
      <c r="B7" s="5" t="s">
        <v>74</v>
      </c>
      <c r="C7" s="13" t="s">
        <v>75</v>
      </c>
    </row>
    <row r="8" customFormat="false" ht="15.75" hidden="false" customHeight="true" outlineLevel="0" collapsed="false">
      <c r="B8" s="5" t="s">
        <v>76</v>
      </c>
      <c r="C8" s="13" t="s">
        <v>77</v>
      </c>
    </row>
    <row r="9" customFormat="false" ht="15.75" hidden="false" customHeight="true" outlineLevel="0" collapsed="false">
      <c r="B9" s="5" t="s">
        <v>78</v>
      </c>
      <c r="C9" s="13" t="s">
        <v>79</v>
      </c>
    </row>
    <row r="10" customFormat="false" ht="15.75" hidden="false" customHeight="true" outlineLevel="0" collapsed="false">
      <c r="B10" s="5" t="s">
        <v>80</v>
      </c>
      <c r="C10" s="13" t="s">
        <v>81</v>
      </c>
    </row>
    <row r="11" customFormat="false" ht="15.75" hidden="false" customHeight="true" outlineLevel="0" collapsed="false">
      <c r="B11" s="5" t="s">
        <v>82</v>
      </c>
      <c r="C11" s="13" t="s">
        <v>83</v>
      </c>
    </row>
    <row r="12" customFormat="false" ht="15.75" hidden="false" customHeight="true" outlineLevel="0" collapsed="false">
      <c r="B12" s="5" t="s">
        <v>84</v>
      </c>
      <c r="C12" s="13" t="s">
        <v>85</v>
      </c>
    </row>
    <row r="13" customFormat="false" ht="15.75" hidden="false" customHeight="true" outlineLevel="0" collapsed="false">
      <c r="B13" s="5" t="s">
        <v>86</v>
      </c>
      <c r="C13" s="13" t="s">
        <v>87</v>
      </c>
    </row>
    <row r="14" customFormat="false" ht="15.75" hidden="false" customHeight="true" outlineLevel="0" collapsed="false">
      <c r="B14" s="5" t="s">
        <v>88</v>
      </c>
      <c r="C14" s="13" t="s">
        <v>89</v>
      </c>
    </row>
    <row r="15" customFormat="false" ht="15.75" hidden="false" customHeight="true" outlineLevel="0" collapsed="false">
      <c r="B15" s="5" t="s">
        <v>90</v>
      </c>
      <c r="C15" s="13" t="s">
        <v>91</v>
      </c>
    </row>
    <row r="16" customFormat="false" ht="15.75" hidden="false" customHeight="true" outlineLevel="0" collapsed="false">
      <c r="B16" s="5" t="s">
        <v>92</v>
      </c>
      <c r="C16" s="13" t="s">
        <v>93</v>
      </c>
    </row>
    <row r="18" customFormat="false" ht="15.75" hidden="false" customHeight="true" outlineLevel="0" collapsed="false">
      <c r="A18" s="7" t="s">
        <v>94</v>
      </c>
      <c r="B18" s="8"/>
      <c r="C18" s="8"/>
    </row>
    <row r="19" customFormat="false" ht="21.75" hidden="false" customHeight="true" outlineLevel="0" collapsed="false">
      <c r="B19" s="5" t="s">
        <v>95</v>
      </c>
      <c r="C19" s="13" t="s">
        <v>96</v>
      </c>
    </row>
    <row r="20" customFormat="false" ht="27" hidden="false" customHeight="true" outlineLevel="0" collapsed="false">
      <c r="B20" s="5" t="s">
        <v>97</v>
      </c>
      <c r="C20" s="13" t="s">
        <v>98</v>
      </c>
    </row>
    <row r="21" customFormat="false" ht="21.75" hidden="false" customHeight="true" outlineLevel="0" collapsed="false">
      <c r="B21" s="5" t="s">
        <v>99</v>
      </c>
      <c r="C21" s="13" t="s">
        <v>100</v>
      </c>
    </row>
    <row r="22" customFormat="false" ht="21.75" hidden="false" customHeight="true" outlineLevel="0" collapsed="false">
      <c r="B22" s="5" t="s">
        <v>101</v>
      </c>
      <c r="C22" s="13" t="s">
        <v>102</v>
      </c>
    </row>
    <row r="23" customFormat="false" ht="21.75" hidden="false" customHeight="true" outlineLevel="0" collapsed="false">
      <c r="B23" s="5" t="s">
        <v>103</v>
      </c>
      <c r="C23" s="13" t="s">
        <v>104</v>
      </c>
    </row>
    <row r="24" customFormat="false" ht="21.75" hidden="false" customHeight="true" outlineLevel="0" collapsed="false">
      <c r="B24" s="5" t="s">
        <v>105</v>
      </c>
      <c r="C24" s="13" t="s">
        <v>106</v>
      </c>
    </row>
    <row r="26" customFormat="false" ht="15.75" hidden="false" customHeight="true" outlineLevel="0" collapsed="false">
      <c r="A26" s="7" t="s">
        <v>107</v>
      </c>
      <c r="B26" s="8"/>
      <c r="C26" s="8"/>
    </row>
    <row r="27" customFormat="false" ht="18" hidden="false" customHeight="true" outlineLevel="0" collapsed="false">
      <c r="B27" s="5" t="s">
        <v>108</v>
      </c>
      <c r="C27" s="13" t="s">
        <v>109</v>
      </c>
    </row>
    <row r="28" customFormat="false" ht="18" hidden="false" customHeight="true" outlineLevel="0" collapsed="false">
      <c r="B28" s="5" t="s">
        <v>110</v>
      </c>
      <c r="C28" s="13" t="s">
        <v>111</v>
      </c>
    </row>
    <row r="29" customFormat="false" ht="18" hidden="false" customHeight="true" outlineLevel="0" collapsed="false">
      <c r="B29" s="5" t="s">
        <v>112</v>
      </c>
      <c r="C29" s="13" t="s">
        <v>113</v>
      </c>
    </row>
    <row r="30" customFormat="false" ht="18" hidden="false" customHeight="true" outlineLevel="0" collapsed="false">
      <c r="B30" s="5" t="s">
        <v>114</v>
      </c>
      <c r="C30" s="13" t="s">
        <v>115</v>
      </c>
    </row>
    <row r="31" customFormat="false" ht="18" hidden="false" customHeight="true" outlineLevel="0" collapsed="false">
      <c r="B31" s="5" t="s">
        <v>116</v>
      </c>
      <c r="C31" s="13" t="s">
        <v>117</v>
      </c>
    </row>
    <row r="32" customFormat="false" ht="18" hidden="false" customHeight="true" outlineLevel="0" collapsed="false">
      <c r="B32" s="5" t="s">
        <v>118</v>
      </c>
      <c r="C32" s="13" t="s">
        <v>119</v>
      </c>
    </row>
    <row r="34" customFormat="false" ht="15.75" hidden="false" customHeight="true" outlineLevel="0" collapsed="false">
      <c r="A34" s="7" t="s">
        <v>120</v>
      </c>
      <c r="B34" s="8"/>
      <c r="C34" s="8"/>
    </row>
    <row r="35" customFormat="false" ht="18" hidden="false" customHeight="true" outlineLevel="0" collapsed="false">
      <c r="B35" s="5" t="s">
        <v>121</v>
      </c>
      <c r="C35" s="13" t="s">
        <v>122</v>
      </c>
    </row>
    <row r="36" customFormat="false" ht="18" hidden="false" customHeight="true" outlineLevel="0" collapsed="false">
      <c r="B36" s="5" t="s">
        <v>123</v>
      </c>
      <c r="C36" s="13" t="s">
        <v>124</v>
      </c>
    </row>
    <row r="37" customFormat="false" ht="18" hidden="false" customHeight="true" outlineLevel="0" collapsed="false">
      <c r="B37" s="5" t="s">
        <v>125</v>
      </c>
      <c r="C37" s="13" t="s">
        <v>126</v>
      </c>
    </row>
    <row r="38" customFormat="false" ht="18" hidden="false" customHeight="true" outlineLevel="0" collapsed="false">
      <c r="B38" s="5" t="s">
        <v>127</v>
      </c>
      <c r="C38" s="13" t="s">
        <v>128</v>
      </c>
    </row>
    <row r="39" customFormat="false" ht="18" hidden="false" customHeight="true" outlineLevel="0" collapsed="false">
      <c r="B39" s="5" t="s">
        <v>129</v>
      </c>
      <c r="C39" s="13" t="s">
        <v>130</v>
      </c>
    </row>
    <row r="40" customFormat="false" ht="18" hidden="false" customHeight="true" outlineLevel="0" collapsed="false">
      <c r="B40" s="5" t="s">
        <v>131</v>
      </c>
      <c r="C40" s="13" t="s">
        <v>132</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4.25" zeroHeight="false" outlineLevelRow="0" outlineLevelCol="0"/>
  <cols>
    <col collapsed="false" customWidth="true" hidden="false" outlineLevel="0" max="1" min="1" style="14" width="46.11"/>
    <col collapsed="false" customWidth="true" hidden="false" outlineLevel="0" max="4" min="2" style="14" width="18"/>
    <col collapsed="false" customWidth="true" hidden="false" outlineLevel="0" max="5" min="5" style="14" width="14"/>
    <col collapsed="false" customWidth="true" hidden="false" outlineLevel="0" max="6" min="6" style="14" width="23.88"/>
    <col collapsed="false" customWidth="false" hidden="false" outlineLevel="0" max="16384" min="7" style="14" width="8.67"/>
  </cols>
  <sheetData>
    <row r="1" customFormat="false" ht="24" hidden="false" customHeight="true" outlineLevel="0" collapsed="false">
      <c r="A1" s="15" t="s">
        <v>133</v>
      </c>
      <c r="B1" s="15"/>
      <c r="C1" s="15"/>
      <c r="D1" s="15"/>
      <c r="E1" s="15"/>
      <c r="F1" s="15"/>
    </row>
    <row r="2" customFormat="false" ht="14.25" hidden="false" customHeight="false" outlineLevel="0" collapsed="false">
      <c r="A2" s="16" t="s">
        <v>134</v>
      </c>
    </row>
    <row r="4" customFormat="false" ht="27.75" hidden="false" customHeight="true" outlineLevel="0" collapsed="false">
      <c r="A4" s="17" t="s">
        <v>135</v>
      </c>
      <c r="B4" s="17" t="s">
        <v>136</v>
      </c>
      <c r="C4" s="17" t="s">
        <v>137</v>
      </c>
      <c r="D4" s="17" t="s">
        <v>138</v>
      </c>
      <c r="E4" s="17" t="s">
        <v>139</v>
      </c>
      <c r="F4" s="17" t="s">
        <v>140</v>
      </c>
    </row>
    <row r="5" customFormat="false" ht="15.75" hidden="false" customHeight="true" outlineLevel="0" collapsed="false">
      <c r="A5" s="18" t="s">
        <v>141</v>
      </c>
      <c r="B5" s="19"/>
      <c r="C5" s="19"/>
      <c r="D5" s="19"/>
      <c r="E5" s="19"/>
      <c r="F5" s="19"/>
    </row>
    <row r="6" customFormat="false" ht="15" hidden="false" customHeight="true" outlineLevel="0" collapsed="false">
      <c r="A6" s="20" t="s">
        <v>142</v>
      </c>
      <c r="B6" s="21" t="n">
        <v>112400000</v>
      </c>
      <c r="C6" s="21" t="n">
        <v>88620061</v>
      </c>
      <c r="D6" s="21" t="n">
        <v>81764856</v>
      </c>
      <c r="E6" s="22" t="n">
        <f aca="false">(D6/B6)^(1/2)-1</f>
        <v>-0.147095938526324</v>
      </c>
      <c r="F6" s="22" t="n">
        <f aca="false">D6/D10</f>
        <v>1.13827972907823</v>
      </c>
    </row>
    <row r="7" customFormat="false" ht="15" hidden="false" customHeight="true" outlineLevel="0" collapsed="false">
      <c r="A7" s="20" t="s">
        <v>143</v>
      </c>
      <c r="B7" s="21" t="n">
        <v>-58800000</v>
      </c>
      <c r="C7" s="21" t="n">
        <v>-41173285</v>
      </c>
      <c r="D7" s="21" t="n">
        <v>-24053334</v>
      </c>
      <c r="E7" s="22" t="n">
        <f aca="false">(D7/B7)^(1/2)-1</f>
        <v>-0.360413957217288</v>
      </c>
      <c r="F7" s="22" t="n">
        <f aca="false">D7/D10</f>
        <v>-0.334855631727012</v>
      </c>
    </row>
    <row r="8" customFormat="false" ht="15" hidden="false" customHeight="true" outlineLevel="0" collapsed="false">
      <c r="A8" s="23" t="s">
        <v>144</v>
      </c>
      <c r="B8" s="24" t="n">
        <v>38200000</v>
      </c>
      <c r="C8" s="24" t="n">
        <v>47446776</v>
      </c>
      <c r="D8" s="24" t="n">
        <v>57711522</v>
      </c>
      <c r="E8" s="25" t="n">
        <f aca="false">(D8/B8)^(1/2)-1</f>
        <v>0.22913499145746</v>
      </c>
      <c r="F8" s="25" t="n">
        <f aca="false">D8/D10</f>
        <v>0.803424097351216</v>
      </c>
    </row>
    <row r="9" customFormat="false" ht="15" hidden="false" customHeight="true" outlineLevel="0" collapsed="false">
      <c r="A9" s="20" t="s">
        <v>145</v>
      </c>
      <c r="B9" s="21" t="n">
        <v>12800000</v>
      </c>
      <c r="C9" s="21" t="n">
        <v>14543565</v>
      </c>
      <c r="D9" s="21" t="n">
        <v>14120431</v>
      </c>
      <c r="E9" s="22" t="n">
        <f aca="false">(D9/B9)^(1/2)-1</f>
        <v>0.0503136064409524</v>
      </c>
      <c r="F9" s="22" t="n">
        <f aca="false">D9/D10</f>
        <v>0.196575902648784</v>
      </c>
    </row>
    <row r="10" customFormat="false" ht="15" hidden="false" customHeight="true" outlineLevel="0" collapsed="false">
      <c r="A10" s="23" t="s">
        <v>146</v>
      </c>
      <c r="B10" s="24" t="n">
        <v>51000000</v>
      </c>
      <c r="C10" s="24" t="n">
        <v>61990341</v>
      </c>
      <c r="D10" s="24" t="n">
        <v>71831953</v>
      </c>
      <c r="E10" s="25" t="n">
        <f aca="false">(D10/B10)^(1/2)-1</f>
        <v>0.186789647185493</v>
      </c>
      <c r="F10" s="25" t="n">
        <f aca="false">D10/D10</f>
        <v>1</v>
      </c>
    </row>
    <row r="11" customFormat="false" ht="15" hidden="false" customHeight="true" outlineLevel="0" collapsed="false">
      <c r="A11" s="20" t="s">
        <v>147</v>
      </c>
      <c r="B11" s="21" t="n">
        <v>-29400000</v>
      </c>
      <c r="C11" s="21" t="n">
        <v>-31889883</v>
      </c>
      <c r="D11" s="21" t="n">
        <v>-37131182</v>
      </c>
      <c r="E11" s="22" t="n">
        <f aca="false">(D11/B11)^(1/2)-1</f>
        <v>0.123817322410391</v>
      </c>
      <c r="F11" s="22" t="n">
        <f aca="false">D11/D10</f>
        <v>-0.516917339000932</v>
      </c>
    </row>
    <row r="12" customFormat="false" ht="15" hidden="false" customHeight="true" outlineLevel="0" collapsed="false">
      <c r="A12" s="23" t="s">
        <v>148</v>
      </c>
      <c r="B12" s="24" t="n">
        <v>21600000</v>
      </c>
      <c r="C12" s="24" t="n">
        <v>30100458</v>
      </c>
      <c r="D12" s="24" t="n">
        <v>34700771</v>
      </c>
      <c r="E12" s="25" t="n">
        <f aca="false">(D12/B12)^(1/2)-1</f>
        <v>0.26748458607035</v>
      </c>
      <c r="F12" s="25" t="n">
        <f aca="false">D12/D10</f>
        <v>0.483082660999068</v>
      </c>
    </row>
    <row r="13" customFormat="false" ht="15" hidden="false" customHeight="true" outlineLevel="0" collapsed="false">
      <c r="A13" s="20" t="s">
        <v>149</v>
      </c>
      <c r="B13" s="21" t="n">
        <v>-4800000</v>
      </c>
      <c r="C13" s="21" t="n">
        <v>-5046435</v>
      </c>
      <c r="D13" s="21" t="n">
        <v>-6902153</v>
      </c>
      <c r="E13" s="22" t="n">
        <f aca="false">(D13/B13)^(1/2)-1</f>
        <v>0.199144921044436</v>
      </c>
      <c r="F13" s="22" t="n">
        <f aca="false">D13/D10</f>
        <v>-0.0960875030085845</v>
      </c>
    </row>
    <row r="14" customFormat="false" ht="15" hidden="false" customHeight="true" outlineLevel="0" collapsed="false">
      <c r="A14" s="23" t="s">
        <v>150</v>
      </c>
      <c r="B14" s="24" t="n">
        <v>22890230</v>
      </c>
      <c r="C14" s="24" t="n">
        <v>25141048</v>
      </c>
      <c r="D14" s="24" t="n">
        <v>27890230</v>
      </c>
      <c r="E14" s="25" t="n">
        <f aca="false">(D14/B14)^(1/2)-1</f>
        <v>0.103826890149647</v>
      </c>
      <c r="F14" s="25" t="n">
        <f aca="false">D14/D10</f>
        <v>0.38827052356491</v>
      </c>
    </row>
    <row r="15" customFormat="false" ht="15" hidden="false" customHeight="true" outlineLevel="0" collapsed="false">
      <c r="A15" s="20" t="s">
        <v>151</v>
      </c>
      <c r="B15" s="21" t="n">
        <v>-3000000</v>
      </c>
      <c r="C15" s="21" t="n">
        <v>-3275281</v>
      </c>
      <c r="D15" s="21" t="n">
        <v>-4496712</v>
      </c>
      <c r="E15" s="22" t="n">
        <f aca="false">(D15/B15)^(1/2)-1</f>
        <v>0.224297349502971</v>
      </c>
      <c r="F15" s="22" t="n">
        <f aca="false">D15/D10</f>
        <v>-0.0626004418952663</v>
      </c>
    </row>
    <row r="16" customFormat="false" ht="15" hidden="false" customHeight="true" outlineLevel="0" collapsed="false">
      <c r="A16" s="23" t="s">
        <v>152</v>
      </c>
      <c r="B16" s="24" t="n">
        <v>18100000</v>
      </c>
      <c r="C16" s="24" t="n">
        <v>21865767</v>
      </c>
      <c r="D16" s="24" t="n">
        <v>23393518</v>
      </c>
      <c r="E16" s="25" t="n">
        <f aca="false">(D16/B16)^(1/2)-1</f>
        <v>0.136863913584669</v>
      </c>
      <c r="F16" s="25" t="n">
        <f aca="false">D16/D10</f>
        <v>0.325670081669644</v>
      </c>
    </row>
    <row r="17" customFormat="false" ht="15" hidden="false" customHeight="true" outlineLevel="0" collapsed="false">
      <c r="A17" s="20" t="s">
        <v>153</v>
      </c>
      <c r="B17" s="26" t="n">
        <v>10.98</v>
      </c>
      <c r="C17" s="26" t="n">
        <v>13.28</v>
      </c>
      <c r="D17" s="26" t="n">
        <v>14.2</v>
      </c>
      <c r="E17" s="22" t="n">
        <f aca="false">(D17/B17)^(1/2)-1</f>
        <v>0.137216106810109</v>
      </c>
      <c r="F17" s="22" t="n">
        <f aca="false">D17/D10</f>
        <v>1.97683613029427E-007</v>
      </c>
    </row>
    <row r="18" customFormat="false" ht="15" hidden="false" customHeight="true" outlineLevel="0" collapsed="false">
      <c r="A18" s="20" t="s">
        <v>154</v>
      </c>
      <c r="B18" s="26" t="n">
        <v>4.5</v>
      </c>
      <c r="C18" s="26" t="n">
        <v>5.5</v>
      </c>
      <c r="D18" s="26" t="n">
        <v>7.1</v>
      </c>
      <c r="E18" s="22" t="n">
        <f aca="false">(D18/B18)^(1/2)-1</f>
        <v>0.256096245427785</v>
      </c>
      <c r="F18" s="22" t="n">
        <f aca="false">D18/D10</f>
        <v>9.88418065147136E-008</v>
      </c>
    </row>
    <row r="20" customFormat="false" ht="15.75" hidden="false" customHeight="true" outlineLevel="0" collapsed="false">
      <c r="A20" s="18" t="s">
        <v>155</v>
      </c>
      <c r="B20" s="19"/>
      <c r="C20" s="19"/>
      <c r="D20" s="19"/>
      <c r="E20" s="19"/>
      <c r="F20" s="19"/>
    </row>
    <row r="21" customFormat="false" ht="15" hidden="false" customHeight="true" outlineLevel="0" collapsed="false">
      <c r="A21" s="23" t="s">
        <v>156</v>
      </c>
      <c r="B21" s="24" t="n">
        <v>590000000</v>
      </c>
      <c r="C21" s="24" t="n">
        <v>665943764</v>
      </c>
      <c r="D21" s="24" t="n">
        <v>716047157</v>
      </c>
      <c r="E21" s="25" t="n">
        <f aca="false">(D21/B21)^(1/2)-1</f>
        <v>0.101652962212939</v>
      </c>
      <c r="F21" s="27"/>
    </row>
    <row r="22" customFormat="false" ht="15" hidden="false" customHeight="true" outlineLevel="0" collapsed="false">
      <c r="A22" s="20" t="s">
        <v>157</v>
      </c>
      <c r="B22" s="21" t="n">
        <v>244000000</v>
      </c>
      <c r="C22" s="21" t="n">
        <v>293932350</v>
      </c>
      <c r="D22" s="21" t="n">
        <v>306917975</v>
      </c>
      <c r="E22" s="22" t="n">
        <f aca="false">(D22/B22)^(1/2)-1</f>
        <v>0.121543825839494</v>
      </c>
    </row>
    <row r="23" customFormat="false" ht="15" hidden="false" customHeight="true" outlineLevel="0" collapsed="false">
      <c r="A23" s="20" t="s">
        <v>158</v>
      </c>
      <c r="B23" s="21" t="n">
        <v>168000000</v>
      </c>
      <c r="C23" s="21" t="n">
        <v>207516292</v>
      </c>
      <c r="D23" s="21" t="n">
        <v>221551079</v>
      </c>
      <c r="E23" s="22" t="n">
        <f aca="false">(D23/B23)^(1/2)-1</f>
        <v>0.148371204192724</v>
      </c>
    </row>
    <row r="24" customFormat="false" ht="15" hidden="false" customHeight="true" outlineLevel="0" collapsed="false">
      <c r="A24" s="20" t="s">
        <v>159</v>
      </c>
      <c r="B24" s="21" t="n">
        <v>38000000</v>
      </c>
      <c r="C24" s="21" t="n">
        <v>43679381</v>
      </c>
      <c r="D24" s="21" t="n">
        <v>63774068</v>
      </c>
      <c r="E24" s="22" t="n">
        <f aca="false">(D24/B24)^(1/2)-1</f>
        <v>0.295478655697739</v>
      </c>
    </row>
    <row r="25" customFormat="false" ht="15" hidden="false" customHeight="true" outlineLevel="0" collapsed="false">
      <c r="A25" s="20" t="s">
        <v>160</v>
      </c>
      <c r="B25" s="21" t="n">
        <v>415000000</v>
      </c>
      <c r="C25" s="21" t="n">
        <v>502016493</v>
      </c>
      <c r="D25" s="21" t="n">
        <v>531866221</v>
      </c>
      <c r="E25" s="22" t="n">
        <f aca="false">(D25/B25)^(1/2)-1</f>
        <v>0.132080099554457</v>
      </c>
    </row>
    <row r="26" customFormat="false" ht="15" hidden="false" customHeight="true" outlineLevel="0" collapsed="false">
      <c r="A26" s="20" t="s">
        <v>161</v>
      </c>
      <c r="B26" s="21" t="n">
        <v>14000000</v>
      </c>
      <c r="C26" s="21" t="n">
        <v>10172225</v>
      </c>
      <c r="D26" s="21" t="n">
        <v>7565293</v>
      </c>
      <c r="E26" s="22" t="n">
        <f aca="false">(D26/B26)^(1/2)-1</f>
        <v>-0.264895877151698</v>
      </c>
    </row>
    <row r="27" customFormat="false" ht="15" hidden="false" customHeight="true" outlineLevel="0" collapsed="false">
      <c r="A27" s="23" t="s">
        <v>162</v>
      </c>
      <c r="B27" s="24" t="n">
        <v>94000000</v>
      </c>
      <c r="C27" s="24" t="n">
        <v>109714749</v>
      </c>
      <c r="D27" s="24" t="n">
        <v>127425566</v>
      </c>
      <c r="E27" s="25" t="n">
        <f aca="false">(D27/B27)^(1/2)-1</f>
        <v>0.164298556066946</v>
      </c>
      <c r="F27" s="27"/>
    </row>
    <row r="29" customFormat="false" ht="15.75" hidden="false" customHeight="true" outlineLevel="0" collapsed="false">
      <c r="A29" s="18" t="s">
        <v>163</v>
      </c>
      <c r="B29" s="19"/>
      <c r="C29" s="19"/>
      <c r="D29" s="19"/>
      <c r="E29" s="19"/>
      <c r="F29" s="19"/>
    </row>
    <row r="30" customFormat="false" ht="15" hidden="false" customHeight="true" outlineLevel="0" collapsed="false">
      <c r="A30" s="23" t="s">
        <v>164</v>
      </c>
      <c r="B30" s="24" t="n">
        <v>22000000</v>
      </c>
      <c r="C30" s="24" t="n">
        <v>-14457339</v>
      </c>
      <c r="D30" s="24" t="n">
        <v>38231821</v>
      </c>
      <c r="E30" s="25" t="n">
        <f aca="false">(D30/B30)^(1/2)-1</f>
        <v>0.318260234344701</v>
      </c>
      <c r="F30" s="27"/>
    </row>
    <row r="31" customFormat="false" ht="15" hidden="false" customHeight="true" outlineLevel="0" collapsed="false">
      <c r="A31" s="20" t="s">
        <v>165</v>
      </c>
      <c r="B31" s="21" t="n">
        <v>-8000000</v>
      </c>
      <c r="C31" s="21" t="n">
        <v>15164656</v>
      </c>
      <c r="D31" s="21" t="n">
        <v>-9882207</v>
      </c>
      <c r="E31" s="22" t="n">
        <f aca="false">(D31/B31)^(1/2)-1</f>
        <v>0.11142965364435</v>
      </c>
    </row>
    <row r="32" customFormat="false" ht="15" hidden="false" customHeight="true" outlineLevel="0" collapsed="false">
      <c r="A32" s="20" t="s">
        <v>166</v>
      </c>
      <c r="B32" s="21" t="n">
        <v>-5500000</v>
      </c>
      <c r="C32" s="21" t="n">
        <v>-4525206</v>
      </c>
      <c r="D32" s="21" t="n">
        <v>-12759638</v>
      </c>
      <c r="E32" s="22" t="n">
        <f aca="false">(D32/B32)^(1/2)-1</f>
        <v>0.523133015142861</v>
      </c>
    </row>
    <row r="33" customFormat="false" ht="15" hidden="false" customHeight="true" outlineLevel="0" collapsed="false">
      <c r="A33" s="23" t="s">
        <v>167</v>
      </c>
      <c r="B33" s="24" t="n">
        <v>8500000</v>
      </c>
      <c r="C33" s="24" t="n">
        <v>-3817889</v>
      </c>
      <c r="D33" s="24" t="n">
        <v>15589976</v>
      </c>
      <c r="E33" s="25" t="n">
        <f aca="false">(D33/B33)^(1/2)-1</f>
        <v>0.354294954405949</v>
      </c>
      <c r="F33" s="27"/>
    </row>
    <row r="34" customFormat="false" ht="15" hidden="false" customHeight="true" outlineLevel="0" collapsed="false">
      <c r="A34" s="20" t="s">
        <v>168</v>
      </c>
      <c r="B34" s="21" t="n">
        <v>-1200000</v>
      </c>
      <c r="C34" s="21" t="n">
        <v>-2696205</v>
      </c>
      <c r="D34" s="21" t="n">
        <v>-1562921</v>
      </c>
      <c r="E34" s="22" t="n">
        <f aca="false">(D34/B34)^(1/2)-1</f>
        <v>0.141242378579882</v>
      </c>
    </row>
    <row r="35" customFormat="false" ht="15" hidden="false" customHeight="true" outlineLevel="0" collapsed="false">
      <c r="A35" s="20" t="s">
        <v>169</v>
      </c>
      <c r="B35" s="21" t="n">
        <v>-7400000</v>
      </c>
      <c r="C35" s="21" t="n">
        <v>-8649476</v>
      </c>
      <c r="D35" s="21" t="n">
        <v>-9473237</v>
      </c>
      <c r="E35" s="22" t="n">
        <f aca="false">(D35/B35)^(1/2)-1</f>
        <v>0.131444723423183</v>
      </c>
    </row>
    <row r="36" customFormat="false" ht="15" hidden="false" customHeight="true" outlineLevel="0" collapsed="false">
      <c r="A36" s="23" t="s">
        <v>170</v>
      </c>
      <c r="B36" s="24" t="n">
        <v>20800000</v>
      </c>
      <c r="C36" s="24" t="n">
        <v>-17153544</v>
      </c>
      <c r="D36" s="24" t="n">
        <v>36668900</v>
      </c>
      <c r="E36" s="25" t="n">
        <f aca="false">(D36/B36)^(1/2)-1</f>
        <v>0.327752945624819</v>
      </c>
      <c r="F36" s="27"/>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0"/>
    <col collapsed="false" customWidth="true" hidden="false" outlineLevel="0" max="5" min="2" style="0" width="15"/>
    <col collapsed="false" customWidth="true" hidden="false" outlineLevel="0" max="6" min="6" style="0" width="39.22"/>
  </cols>
  <sheetData>
    <row r="1" customFormat="false" ht="24" hidden="false" customHeight="true" outlineLevel="0" collapsed="false">
      <c r="A1" s="1" t="s">
        <v>171</v>
      </c>
      <c r="B1" s="1"/>
      <c r="C1" s="1"/>
      <c r="D1" s="1"/>
      <c r="E1" s="1"/>
      <c r="F1" s="1"/>
    </row>
    <row r="2" customFormat="false" ht="14.25" hidden="false" customHeight="false" outlineLevel="0" collapsed="false">
      <c r="A2" s="12" t="s">
        <v>172</v>
      </c>
    </row>
    <row r="4" customFormat="false" ht="18" hidden="false" customHeight="true" outlineLevel="0" collapsed="false">
      <c r="A4" s="28" t="s">
        <v>173</v>
      </c>
      <c r="B4" s="28" t="s">
        <v>136</v>
      </c>
      <c r="C4" s="28" t="s">
        <v>137</v>
      </c>
      <c r="D4" s="28" t="s">
        <v>138</v>
      </c>
      <c r="E4" s="28" t="s">
        <v>174</v>
      </c>
      <c r="F4" s="28" t="s">
        <v>175</v>
      </c>
    </row>
    <row r="5" customFormat="false" ht="15.75" hidden="false" customHeight="true" outlineLevel="0" collapsed="false">
      <c r="A5" s="7" t="s">
        <v>176</v>
      </c>
      <c r="B5" s="8"/>
      <c r="C5" s="8"/>
      <c r="D5" s="8"/>
      <c r="E5" s="8"/>
      <c r="F5" s="8"/>
    </row>
    <row r="6" customFormat="false" ht="18" hidden="false" customHeight="true" outlineLevel="0" collapsed="false">
      <c r="A6" s="29" t="s">
        <v>177</v>
      </c>
      <c r="B6" s="30" t="n">
        <v>3</v>
      </c>
      <c r="C6" s="30" t="n">
        <v>3.2799</v>
      </c>
      <c r="D6" s="31" t="n">
        <v>3.8619</v>
      </c>
      <c r="E6" s="32" t="s">
        <v>178</v>
      </c>
      <c r="F6" s="33" t="str">
        <f aca="false">"FY2025: "&amp;TEXT(D6,"0.00")&amp;"× — comfortable coverage; improved from "&amp;TEXT(C6,"0.00")&amp;"× in FY2024 and "&amp;TEXT(B6,"0.00")&amp;"× in FY2023"</f>
        <v>FY2025: 3.86× — comfortable coverage; improved from 3.28× in FY2024 and 3.00× in FY2023</v>
      </c>
    </row>
    <row r="7" customFormat="false" ht="18" hidden="false" customHeight="true" outlineLevel="0" collapsed="false">
      <c r="A7" s="29" t="s">
        <v>179</v>
      </c>
      <c r="B7" s="30" t="n">
        <v>1.1368</v>
      </c>
      <c r="C7" s="30" t="n">
        <v>1.4194</v>
      </c>
      <c r="D7" s="31" t="n">
        <v>1.6598</v>
      </c>
      <c r="E7" s="32" t="s">
        <v>180</v>
      </c>
      <c r="F7" s="33" t="s">
        <v>181</v>
      </c>
    </row>
    <row r="8" customFormat="false" ht="18" hidden="false" customHeight="true" outlineLevel="0" collapsed="false">
      <c r="A8" s="29" t="s">
        <v>182</v>
      </c>
      <c r="B8" s="30" t="n">
        <v>1.4385</v>
      </c>
      <c r="C8" s="30" t="n">
        <v>1.5986</v>
      </c>
      <c r="D8" s="31" t="n">
        <v>1.656</v>
      </c>
      <c r="E8" s="32" t="s">
        <v>180</v>
      </c>
      <c r="F8" s="33" t="s">
        <v>183</v>
      </c>
    </row>
    <row r="9" customFormat="false" ht="18" hidden="false" customHeight="true" outlineLevel="0" collapsed="false">
      <c r="A9" s="29" t="s">
        <v>184</v>
      </c>
      <c r="B9" s="30" t="n">
        <v>1.1579</v>
      </c>
      <c r="C9" s="30" t="n">
        <v>-0.6818</v>
      </c>
      <c r="D9" s="31" t="n">
        <v>1.8287</v>
      </c>
      <c r="E9" s="32" t="s">
        <v>185</v>
      </c>
      <c r="F9" s="33" t="s">
        <v>186</v>
      </c>
    </row>
    <row r="10" customFormat="false" ht="18" hidden="false" customHeight="true" outlineLevel="0" collapsed="false">
      <c r="A10" s="29" t="s">
        <v>187</v>
      </c>
      <c r="B10" s="30" t="n">
        <v>1.4857</v>
      </c>
      <c r="C10" s="30" t="n">
        <v>-1.6863</v>
      </c>
      <c r="D10" s="31" t="n">
        <v>4.847</v>
      </c>
      <c r="E10" s="32" t="s">
        <v>188</v>
      </c>
      <c r="F10" s="33" t="s">
        <v>189</v>
      </c>
    </row>
    <row r="12" customFormat="false" ht="15.75" hidden="false" customHeight="true" outlineLevel="0" collapsed="false">
      <c r="A12" s="7" t="s">
        <v>190</v>
      </c>
      <c r="B12" s="8"/>
      <c r="C12" s="8"/>
      <c r="D12" s="8"/>
      <c r="E12" s="8"/>
      <c r="F12" s="8"/>
    </row>
    <row r="13" customFormat="false" ht="18" hidden="false" customHeight="true" outlineLevel="0" collapsed="false">
      <c r="A13" s="29" t="s">
        <v>191</v>
      </c>
      <c r="B13" s="30" t="n">
        <v>0.1489</v>
      </c>
      <c r="C13" s="30" t="n">
        <v>0.0927</v>
      </c>
      <c r="D13" s="31" t="n">
        <v>0.0594</v>
      </c>
      <c r="E13" s="32" t="s">
        <v>192</v>
      </c>
      <c r="F13" s="33" t="s">
        <v>193</v>
      </c>
    </row>
    <row r="14" customFormat="false" ht="18" hidden="false" customHeight="true" outlineLevel="0" collapsed="false">
      <c r="A14" s="29" t="s">
        <v>194</v>
      </c>
      <c r="B14" s="30" t="n">
        <v>-0.2553</v>
      </c>
      <c r="C14" s="30" t="n">
        <v>-0.3054</v>
      </c>
      <c r="D14" s="31" t="n">
        <v>-0.4411</v>
      </c>
      <c r="E14" s="32" t="s">
        <v>195</v>
      </c>
      <c r="F14" s="33" t="s">
        <v>196</v>
      </c>
    </row>
    <row r="15" customFormat="false" ht="18" hidden="false" customHeight="true" outlineLevel="0" collapsed="false">
      <c r="A15" s="29" t="s">
        <v>197</v>
      </c>
      <c r="B15" s="34" t="n">
        <v>0.181</v>
      </c>
      <c r="C15" s="34" t="n">
        <v>0.193</v>
      </c>
      <c r="D15" s="35" t="n">
        <v>0.198</v>
      </c>
      <c r="E15" s="32" t="s">
        <v>198</v>
      </c>
      <c r="F15" s="33" t="s">
        <v>199</v>
      </c>
    </row>
    <row r="16" customFormat="false" ht="18" hidden="false" customHeight="true" outlineLevel="0" collapsed="false">
      <c r="A16" s="29" t="s">
        <v>200</v>
      </c>
      <c r="B16" s="34" t="n">
        <v>0.148</v>
      </c>
      <c r="C16" s="34" t="n">
        <v>0.158</v>
      </c>
      <c r="D16" s="35" t="n">
        <v>0.163</v>
      </c>
      <c r="E16" s="32" t="s">
        <v>201</v>
      </c>
      <c r="F16" s="33" t="s">
        <v>202</v>
      </c>
    </row>
    <row r="17" customFormat="false" ht="18" hidden="false" customHeight="true" outlineLevel="0" collapsed="false">
      <c r="A17" s="29" t="s">
        <v>203</v>
      </c>
      <c r="B17" s="34" t="n">
        <v>0.1593</v>
      </c>
      <c r="C17" s="34" t="n">
        <v>0.1648</v>
      </c>
      <c r="D17" s="35" t="n">
        <v>0.178</v>
      </c>
      <c r="E17" s="32" t="s">
        <v>204</v>
      </c>
      <c r="F17" s="33" t="s">
        <v>205</v>
      </c>
    </row>
    <row r="18" customFormat="false" ht="18" hidden="false" customHeight="true" outlineLevel="0" collapsed="false">
      <c r="A18" s="29" t="s">
        <v>206</v>
      </c>
      <c r="B18" s="30" t="n">
        <v>6.2766</v>
      </c>
      <c r="C18" s="30" t="n">
        <v>6.0698</v>
      </c>
      <c r="D18" s="31" t="n">
        <v>5.6193</v>
      </c>
      <c r="E18" s="32" t="s">
        <v>207</v>
      </c>
      <c r="F18" s="33" t="s">
        <v>208</v>
      </c>
    </row>
    <row r="20" customFormat="false" ht="15.75" hidden="false" customHeight="true" outlineLevel="0" collapsed="false">
      <c r="A20" s="7" t="s">
        <v>209</v>
      </c>
      <c r="B20" s="8"/>
      <c r="C20" s="8"/>
      <c r="D20" s="8"/>
      <c r="E20" s="8"/>
      <c r="F20" s="8"/>
    </row>
    <row r="21" customFormat="false" ht="18" hidden="false" customHeight="true" outlineLevel="0" collapsed="false">
      <c r="A21" s="29" t="s">
        <v>210</v>
      </c>
      <c r="B21" s="34" t="n">
        <v>0.4964</v>
      </c>
      <c r="C21" s="34" t="n">
        <v>0.5004</v>
      </c>
      <c r="D21" s="35" t="n">
        <v>0.5365</v>
      </c>
      <c r="E21" s="32" t="s">
        <v>211</v>
      </c>
      <c r="F21" s="33" t="s">
        <v>212</v>
      </c>
    </row>
    <row r="22" customFormat="false" ht="18" hidden="false" customHeight="true" outlineLevel="0" collapsed="false">
      <c r="A22" s="29" t="s">
        <v>213</v>
      </c>
      <c r="B22" s="34" t="n">
        <v>0.588</v>
      </c>
      <c r="C22" s="34" t="n">
        <v>0.5855</v>
      </c>
      <c r="D22" s="35" t="n">
        <v>0.5771</v>
      </c>
      <c r="E22" s="32" t="s">
        <v>214</v>
      </c>
      <c r="F22" s="33" t="s">
        <v>215</v>
      </c>
    </row>
    <row r="23" customFormat="false" ht="18" hidden="false" customHeight="true" outlineLevel="0" collapsed="false">
      <c r="A23" s="29" t="s">
        <v>216</v>
      </c>
      <c r="B23" s="34" t="n">
        <v>0.4802</v>
      </c>
      <c r="C23" s="34" t="n">
        <v>0.4904</v>
      </c>
      <c r="D23" s="35" t="n">
        <v>0.5289</v>
      </c>
      <c r="E23" s="32" t="s">
        <v>217</v>
      </c>
      <c r="F23" s="33" t="s">
        <v>218</v>
      </c>
    </row>
    <row r="24" customFormat="false" ht="18" hidden="false" customHeight="true" outlineLevel="0" collapsed="false">
      <c r="A24" s="29" t="s">
        <v>219</v>
      </c>
      <c r="B24" s="30" t="n">
        <v>1.18</v>
      </c>
      <c r="C24" s="30" t="n">
        <v>1.22</v>
      </c>
      <c r="D24" s="31" t="n">
        <v>1.25</v>
      </c>
      <c r="E24" s="32" t="s">
        <v>220</v>
      </c>
      <c r="F24" s="33" t="s">
        <v>221</v>
      </c>
    </row>
    <row r="25" customFormat="false" ht="18" hidden="false" customHeight="true" outlineLevel="0" collapsed="false">
      <c r="A25" s="29" t="s">
        <v>222</v>
      </c>
      <c r="B25" s="30" t="n">
        <v>1.35</v>
      </c>
      <c r="C25" s="30" t="n">
        <v>1.42</v>
      </c>
      <c r="D25" s="31" t="n">
        <v>1.48</v>
      </c>
      <c r="E25" s="32" t="s">
        <v>220</v>
      </c>
      <c r="F25" s="33" t="s">
        <v>223</v>
      </c>
    </row>
    <row r="27" customFormat="false" ht="15.75" hidden="false" customHeight="true" outlineLevel="0" collapsed="false">
      <c r="A27" s="7" t="s">
        <v>224</v>
      </c>
      <c r="B27" s="8"/>
      <c r="C27" s="8"/>
      <c r="D27" s="8"/>
      <c r="E27" s="8"/>
      <c r="F27" s="8"/>
    </row>
    <row r="28" customFormat="false" ht="18" hidden="false" customHeight="true" outlineLevel="0" collapsed="false">
      <c r="A28" s="29" t="s">
        <v>225</v>
      </c>
      <c r="B28" s="34" t="n">
        <v>0.092</v>
      </c>
      <c r="C28" s="34" t="n">
        <v>0.0855</v>
      </c>
      <c r="D28" s="35" t="n">
        <v>0.0745</v>
      </c>
      <c r="E28" s="32" t="s">
        <v>226</v>
      </c>
      <c r="F28" s="33" t="s">
        <v>227</v>
      </c>
    </row>
    <row r="29" customFormat="false" ht="18" hidden="false" customHeight="true" outlineLevel="0" collapsed="false">
      <c r="A29" s="29" t="s">
        <v>228</v>
      </c>
      <c r="B29" s="34" t="n">
        <v>0.52</v>
      </c>
      <c r="C29" s="34" t="n">
        <v>0.55</v>
      </c>
      <c r="D29" s="36" t="n">
        <v>0.61</v>
      </c>
      <c r="E29" s="32" t="s">
        <v>229</v>
      </c>
      <c r="F29" s="33" t="s">
        <v>230</v>
      </c>
    </row>
    <row r="30" customFormat="false" ht="18" hidden="false" customHeight="true" outlineLevel="0" collapsed="false">
      <c r="A30" s="29" t="s">
        <v>231</v>
      </c>
      <c r="B30" s="34" t="n">
        <v>0.0197</v>
      </c>
      <c r="C30" s="34" t="n">
        <v>0.0172</v>
      </c>
      <c r="D30" s="36" t="n">
        <v>0.0225</v>
      </c>
      <c r="E30" s="32" t="s">
        <v>232</v>
      </c>
      <c r="F30" s="33" t="s">
        <v>233</v>
      </c>
    </row>
    <row r="31" customFormat="false" ht="18" hidden="false" customHeight="true" outlineLevel="0" collapsed="false">
      <c r="A31" s="29" t="s">
        <v>234</v>
      </c>
      <c r="B31" s="34" t="n">
        <v>0.0941</v>
      </c>
      <c r="C31" s="34" t="n">
        <v>0.0814</v>
      </c>
      <c r="D31" s="36" t="n">
        <v>0.0961</v>
      </c>
      <c r="E31" s="32" t="s">
        <v>235</v>
      </c>
      <c r="F31" s="33" t="s">
        <v>236</v>
      </c>
    </row>
    <row r="32" customFormat="false" ht="18" hidden="false" customHeight="true" outlineLevel="0" collapsed="false">
      <c r="A32" s="29" t="s">
        <v>237</v>
      </c>
      <c r="B32" s="34" t="n">
        <v>0.38</v>
      </c>
      <c r="C32" s="34" t="n">
        <v>0.36</v>
      </c>
      <c r="D32" s="35" t="n">
        <v>0.34</v>
      </c>
      <c r="E32" s="32" t="s">
        <v>238</v>
      </c>
      <c r="F32" s="33" t="s">
        <v>239</v>
      </c>
    </row>
    <row r="34" customFormat="false" ht="15.75" hidden="false" customHeight="true" outlineLevel="0" collapsed="false">
      <c r="A34" s="7" t="s">
        <v>240</v>
      </c>
      <c r="B34" s="8"/>
      <c r="C34" s="8"/>
      <c r="D34" s="8"/>
      <c r="E34" s="8"/>
      <c r="F34" s="8"/>
    </row>
    <row r="35" customFormat="false" ht="18" hidden="false" customHeight="true" outlineLevel="0" collapsed="false">
      <c r="A35" s="29" t="s">
        <v>241</v>
      </c>
      <c r="B35" s="34" t="n">
        <v>0.1926</v>
      </c>
      <c r="C35" s="34" t="n">
        <v>0.1993</v>
      </c>
      <c r="D35" s="35" t="n">
        <v>0.1973</v>
      </c>
      <c r="E35" s="32" t="s">
        <v>242</v>
      </c>
      <c r="F35" s="33" t="s">
        <v>243</v>
      </c>
    </row>
    <row r="36" customFormat="false" ht="18" hidden="false" customHeight="true" outlineLevel="0" collapsed="false">
      <c r="A36" s="29" t="s">
        <v>244</v>
      </c>
      <c r="B36" s="34" t="n">
        <v>0.0307</v>
      </c>
      <c r="C36" s="34" t="n">
        <v>0.0328</v>
      </c>
      <c r="D36" s="35" t="n">
        <v>0.0339</v>
      </c>
      <c r="E36" s="32" t="s">
        <v>245</v>
      </c>
      <c r="F36" s="33" t="s">
        <v>246</v>
      </c>
    </row>
    <row r="37" customFormat="false" ht="18" hidden="false" customHeight="true" outlineLevel="0" collapsed="false">
      <c r="A37" s="29" t="s">
        <v>247</v>
      </c>
      <c r="B37" s="34" t="n">
        <v>0.0927</v>
      </c>
      <c r="C37" s="34" t="n">
        <v>0.0946</v>
      </c>
      <c r="D37" s="35" t="n">
        <v>0.1092</v>
      </c>
      <c r="E37" s="32" t="s">
        <v>248</v>
      </c>
      <c r="F37" s="33" t="s">
        <v>249</v>
      </c>
    </row>
    <row r="38" customFormat="false" ht="18" hidden="false" customHeight="true" outlineLevel="0" collapsed="false">
      <c r="A38" s="29" t="s">
        <v>250</v>
      </c>
      <c r="B38" s="34" t="n">
        <v>0.5765</v>
      </c>
      <c r="C38" s="34" t="n">
        <v>0.5144</v>
      </c>
      <c r="D38" s="35" t="n">
        <v>0.5169</v>
      </c>
      <c r="E38" s="32" t="s">
        <v>251</v>
      </c>
      <c r="F38" s="33" t="s">
        <v>252</v>
      </c>
    </row>
    <row r="39" customFormat="false" ht="18" hidden="false" customHeight="true" outlineLevel="0" collapsed="false">
      <c r="A39" s="29" t="s">
        <v>253</v>
      </c>
      <c r="B39" s="34"/>
      <c r="C39" s="34" t="n">
        <v>0.2081</v>
      </c>
      <c r="D39" s="35" t="n">
        <v>0.0699</v>
      </c>
      <c r="E39" s="32" t="s">
        <v>248</v>
      </c>
      <c r="F39" s="33" t="s">
        <v>254</v>
      </c>
    </row>
    <row r="40" customFormat="false" ht="18" hidden="false" customHeight="true" outlineLevel="0" collapsed="false">
      <c r="A40" s="29" t="s">
        <v>255</v>
      </c>
      <c r="B40" s="34" t="n">
        <v>0.4088</v>
      </c>
      <c r="C40" s="34" t="n">
        <v>0.3956</v>
      </c>
      <c r="D40" s="35" t="n">
        <v>0.405</v>
      </c>
      <c r="E40" s="32" t="s">
        <v>256</v>
      </c>
      <c r="F40" s="33" t="s">
        <v>257</v>
      </c>
    </row>
    <row r="42" customFormat="false" ht="15.75" hidden="false" customHeight="true" outlineLevel="0" collapsed="false">
      <c r="A42" s="7" t="s">
        <v>258</v>
      </c>
      <c r="B42" s="8"/>
      <c r="C42" s="8"/>
      <c r="D42" s="8"/>
      <c r="E42" s="8"/>
      <c r="F42" s="8"/>
    </row>
    <row r="43" customFormat="false" ht="18" hidden="false" customHeight="true" outlineLevel="0" collapsed="false">
      <c r="A43" s="29" t="s">
        <v>259</v>
      </c>
      <c r="B43" s="34" t="n">
        <v>0.25</v>
      </c>
      <c r="C43" s="34" t="n">
        <v>0.25</v>
      </c>
      <c r="D43" s="35" t="n">
        <v>0.25</v>
      </c>
      <c r="E43" s="32" t="s">
        <v>260</v>
      </c>
      <c r="F43" s="33" t="s">
        <v>261</v>
      </c>
    </row>
    <row r="44" customFormat="false" ht="18" hidden="false" customHeight="true" outlineLevel="0" collapsed="false">
      <c r="A44" s="29" t="s">
        <v>262</v>
      </c>
      <c r="B44" s="34" t="n">
        <v>0.031</v>
      </c>
      <c r="C44" s="34" t="n">
        <v>0.028</v>
      </c>
      <c r="D44" s="35" t="n">
        <v>0.025</v>
      </c>
      <c r="E44" s="32" t="s">
        <v>226</v>
      </c>
      <c r="F44" s="33" t="s">
        <v>263</v>
      </c>
    </row>
    <row r="45" customFormat="false" ht="18" hidden="false" customHeight="true" outlineLevel="0" collapsed="false">
      <c r="A45" s="29" t="s">
        <v>264</v>
      </c>
      <c r="B45" s="34" t="n">
        <v>0.18</v>
      </c>
      <c r="C45" s="34" t="n">
        <v>0.16</v>
      </c>
      <c r="D45" s="35" t="n">
        <v>0.14</v>
      </c>
      <c r="E45" s="32" t="s">
        <v>265</v>
      </c>
      <c r="F45" s="33" t="s">
        <v>266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F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7" activeCellId="0" sqref="E7"/>
    </sheetView>
  </sheetViews>
  <sheetFormatPr defaultColWidth="8.66796875" defaultRowHeight="14.25" zeroHeight="false" outlineLevelRow="0" outlineLevelCol="0"/>
  <cols>
    <col collapsed="false" customWidth="true" hidden="false" outlineLevel="0" max="1" min="1" style="0" width="5.44"/>
    <col collapsed="false" customWidth="true" hidden="false" outlineLevel="0" max="2" min="2" style="0" width="36"/>
    <col collapsed="false" customWidth="true" hidden="false" outlineLevel="0" max="3" min="3" style="0" width="73.67"/>
    <col collapsed="false" customWidth="true" hidden="false" outlineLevel="0" max="5" min="4" style="0" width="16"/>
    <col collapsed="false" customWidth="true" hidden="false" outlineLevel="0" max="6" min="6" style="0" width="30.11"/>
  </cols>
  <sheetData>
    <row r="1" customFormat="false" ht="24" hidden="false" customHeight="true" outlineLevel="0" collapsed="false">
      <c r="A1" s="37" t="s">
        <v>267</v>
      </c>
      <c r="B1" s="37"/>
      <c r="C1" s="37"/>
    </row>
    <row r="2" customFormat="false" ht="14.25" hidden="false" customHeight="false" outlineLevel="0" collapsed="false">
      <c r="A2" s="12" t="s">
        <v>268</v>
      </c>
    </row>
    <row r="4" customFormat="false" ht="15.75" hidden="false" customHeight="true" outlineLevel="0" collapsed="false">
      <c r="A4" s="5" t="s">
        <v>269</v>
      </c>
      <c r="B4" s="6"/>
      <c r="C4" s="6"/>
    </row>
    <row r="5" customFormat="false" ht="15.75" hidden="false" customHeight="true" outlineLevel="0" collapsed="false">
      <c r="A5" s="38" t="s">
        <v>270</v>
      </c>
      <c r="B5" s="6"/>
      <c r="C5" s="6"/>
    </row>
    <row r="6" customFormat="false" ht="18" hidden="false" customHeight="true" outlineLevel="0" collapsed="false">
      <c r="B6" s="5" t="s">
        <v>271</v>
      </c>
      <c r="C6" s="39" t="s">
        <v>272</v>
      </c>
    </row>
    <row r="7" customFormat="false" ht="69.75" hidden="false" customHeight="true" outlineLevel="0" collapsed="false">
      <c r="B7" s="9" t="s">
        <v>273</v>
      </c>
      <c r="C7" s="9"/>
    </row>
    <row r="8" customFormat="false" ht="15.75" hidden="false" customHeight="true" outlineLevel="0" collapsed="false">
      <c r="A8" s="38" t="s">
        <v>274</v>
      </c>
      <c r="B8" s="6"/>
      <c r="C8" s="6"/>
    </row>
    <row r="9" customFormat="false" ht="18" hidden="false" customHeight="true" outlineLevel="0" collapsed="false">
      <c r="B9" s="5" t="s">
        <v>271</v>
      </c>
      <c r="C9" s="39" t="s">
        <v>272</v>
      </c>
    </row>
    <row r="10" customFormat="false" ht="69.75" hidden="false" customHeight="true" outlineLevel="0" collapsed="false">
      <c r="B10" s="9" t="s">
        <v>275</v>
      </c>
      <c r="C10" s="9"/>
    </row>
    <row r="11" customFormat="false" ht="15.75" hidden="false" customHeight="true" outlineLevel="0" collapsed="false">
      <c r="A11" s="38" t="s">
        <v>276</v>
      </c>
      <c r="B11" s="6"/>
      <c r="C11" s="6"/>
    </row>
    <row r="12" customFormat="false" ht="18" hidden="false" customHeight="true" outlineLevel="0" collapsed="false">
      <c r="B12" s="5" t="s">
        <v>271</v>
      </c>
      <c r="C12" s="39" t="s">
        <v>277</v>
      </c>
    </row>
    <row r="13" customFormat="false" ht="69.75" hidden="false" customHeight="true" outlineLevel="0" collapsed="false">
      <c r="B13" s="9" t="s">
        <v>278</v>
      </c>
      <c r="C13" s="9"/>
    </row>
    <row r="14" customFormat="false" ht="15.75" hidden="false" customHeight="true" outlineLevel="0" collapsed="false">
      <c r="A14" s="38" t="s">
        <v>279</v>
      </c>
      <c r="B14" s="6"/>
      <c r="C14" s="6"/>
    </row>
    <row r="15" customFormat="false" ht="18" hidden="false" customHeight="true" outlineLevel="0" collapsed="false">
      <c r="B15" s="5" t="s">
        <v>271</v>
      </c>
      <c r="C15" s="39" t="s">
        <v>280</v>
      </c>
    </row>
    <row r="16" customFormat="false" ht="69.75" hidden="false" customHeight="true" outlineLevel="0" collapsed="false">
      <c r="B16" s="9" t="s">
        <v>281</v>
      </c>
      <c r="C16" s="9"/>
    </row>
    <row r="17" customFormat="false" ht="15.75" hidden="false" customHeight="true" outlineLevel="0" collapsed="false">
      <c r="A17" s="38" t="s">
        <v>282</v>
      </c>
      <c r="B17" s="6"/>
      <c r="C17" s="6"/>
    </row>
    <row r="18" customFormat="false" ht="18" hidden="false" customHeight="true" outlineLevel="0" collapsed="false">
      <c r="B18" s="5" t="s">
        <v>271</v>
      </c>
      <c r="C18" s="39" t="s">
        <v>283</v>
      </c>
    </row>
    <row r="19" customFormat="false" ht="69.75" hidden="false" customHeight="true" outlineLevel="0" collapsed="false">
      <c r="B19" s="9" t="s">
        <v>284</v>
      </c>
      <c r="C19" s="9"/>
    </row>
    <row r="21" customFormat="false" ht="15.75" hidden="false" customHeight="true" outlineLevel="0" collapsed="false">
      <c r="A21" s="5" t="s">
        <v>285</v>
      </c>
      <c r="B21" s="6"/>
      <c r="C21" s="6"/>
    </row>
    <row r="22" customFormat="false" ht="15.75" hidden="false" customHeight="true" outlineLevel="0" collapsed="false">
      <c r="B22" s="40" t="s">
        <v>286</v>
      </c>
      <c r="C22" s="40" t="s">
        <v>287</v>
      </c>
      <c r="D22" s="40" t="s">
        <v>288</v>
      </c>
      <c r="E22" s="40" t="s">
        <v>289</v>
      </c>
      <c r="F22" s="40" t="s">
        <v>290</v>
      </c>
    </row>
    <row r="23" customFormat="false" ht="21.75" hidden="false" customHeight="true" outlineLevel="0" collapsed="false">
      <c r="B23" s="5" t="s">
        <v>291</v>
      </c>
      <c r="C23" s="41" t="s">
        <v>292</v>
      </c>
      <c r="D23" s="41" t="s">
        <v>293</v>
      </c>
      <c r="E23" s="42" t="s">
        <v>294</v>
      </c>
      <c r="F23" s="33" t="s">
        <v>295</v>
      </c>
    </row>
    <row r="24" customFormat="false" ht="21.75" hidden="false" customHeight="true" outlineLevel="0" collapsed="false">
      <c r="B24" s="5" t="s">
        <v>296</v>
      </c>
      <c r="C24" s="41" t="s">
        <v>297</v>
      </c>
      <c r="D24" s="41" t="s">
        <v>292</v>
      </c>
      <c r="E24" s="42" t="s">
        <v>298</v>
      </c>
      <c r="F24" s="33" t="s">
        <v>299</v>
      </c>
    </row>
    <row r="25" customFormat="false" ht="21.75" hidden="false" customHeight="true" outlineLevel="0" collapsed="false">
      <c r="B25" s="5" t="s">
        <v>300</v>
      </c>
      <c r="C25" s="41" t="s">
        <v>301</v>
      </c>
      <c r="D25" s="41" t="s">
        <v>302</v>
      </c>
      <c r="E25" s="42" t="s">
        <v>298</v>
      </c>
      <c r="F25" s="33" t="s">
        <v>303</v>
      </c>
    </row>
    <row r="26" customFormat="false" ht="21.75" hidden="false" customHeight="true" outlineLevel="0" collapsed="false">
      <c r="B26" s="5" t="s">
        <v>304</v>
      </c>
      <c r="C26" s="41" t="s">
        <v>297</v>
      </c>
      <c r="D26" s="41" t="s">
        <v>293</v>
      </c>
      <c r="E26" s="42" t="s">
        <v>298</v>
      </c>
      <c r="F26" s="33" t="s">
        <v>305</v>
      </c>
    </row>
    <row r="27" customFormat="false" ht="21.75" hidden="false" customHeight="true" outlineLevel="0" collapsed="false">
      <c r="B27" s="5" t="s">
        <v>306</v>
      </c>
      <c r="C27" s="41" t="s">
        <v>292</v>
      </c>
      <c r="D27" s="41" t="s">
        <v>292</v>
      </c>
      <c r="E27" s="42" t="s">
        <v>298</v>
      </c>
      <c r="F27" s="33" t="s">
        <v>307</v>
      </c>
    </row>
    <row r="28" customFormat="false" ht="21.75" hidden="false" customHeight="true" outlineLevel="0" collapsed="false">
      <c r="B28" s="5" t="s">
        <v>308</v>
      </c>
      <c r="C28" s="41" t="s">
        <v>297</v>
      </c>
      <c r="D28" s="41" t="s">
        <v>292</v>
      </c>
      <c r="E28" s="42" t="s">
        <v>309</v>
      </c>
      <c r="F28" s="33" t="s">
        <v>310</v>
      </c>
    </row>
    <row r="29" customFormat="false" ht="21.75" hidden="false" customHeight="true" outlineLevel="0" collapsed="false">
      <c r="B29" s="5" t="s">
        <v>311</v>
      </c>
      <c r="C29" s="41" t="s">
        <v>292</v>
      </c>
      <c r="D29" s="41" t="s">
        <v>297</v>
      </c>
      <c r="E29" s="42" t="s">
        <v>309</v>
      </c>
      <c r="F29" s="33" t="s">
        <v>312</v>
      </c>
    </row>
    <row r="30" customFormat="false" ht="21.75" hidden="false" customHeight="true" outlineLevel="0" collapsed="false">
      <c r="B30" s="5" t="s">
        <v>313</v>
      </c>
      <c r="C30" s="41" t="s">
        <v>297</v>
      </c>
      <c r="D30" s="41" t="s">
        <v>293</v>
      </c>
      <c r="E30" s="42" t="s">
        <v>298</v>
      </c>
      <c r="F30" s="33" t="s">
        <v>314</v>
      </c>
    </row>
    <row r="31" customFormat="false" ht="21.75" hidden="false" customHeight="true" outlineLevel="0" collapsed="false">
      <c r="B31" s="5" t="s">
        <v>315</v>
      </c>
      <c r="C31" s="41" t="s">
        <v>301</v>
      </c>
      <c r="D31" s="41" t="s">
        <v>302</v>
      </c>
      <c r="E31" s="42" t="s">
        <v>309</v>
      </c>
      <c r="F31" s="33" t="s">
        <v>316</v>
      </c>
    </row>
    <row r="32" customFormat="false" ht="21.75" hidden="false" customHeight="true" outlineLevel="0" collapsed="false">
      <c r="B32" s="5" t="s">
        <v>317</v>
      </c>
      <c r="C32" s="41" t="s">
        <v>301</v>
      </c>
      <c r="D32" s="41" t="s">
        <v>302</v>
      </c>
      <c r="E32" s="42" t="s">
        <v>298</v>
      </c>
      <c r="F32" s="33" t="s">
        <v>318</v>
      </c>
    </row>
    <row r="34" customFormat="false" ht="15.75" hidden="false" customHeight="true" outlineLevel="0" collapsed="false">
      <c r="A34" s="5" t="s">
        <v>319</v>
      </c>
      <c r="B34" s="6"/>
      <c r="C34" s="6"/>
    </row>
    <row r="35" customFormat="false" ht="15.75" hidden="false" customHeight="true" outlineLevel="0" collapsed="false">
      <c r="B35" s="40" t="s">
        <v>320</v>
      </c>
      <c r="C35" s="40" t="s">
        <v>321</v>
      </c>
      <c r="D35" s="40" t="s">
        <v>322</v>
      </c>
      <c r="E35" s="40" t="s">
        <v>323</v>
      </c>
      <c r="F35" s="40" t="s">
        <v>324</v>
      </c>
    </row>
    <row r="36" customFormat="false" ht="15.75" hidden="false" customHeight="true" outlineLevel="0" collapsed="false">
      <c r="B36" s="5" t="s">
        <v>325</v>
      </c>
      <c r="C36" s="43" t="s">
        <v>326</v>
      </c>
      <c r="D36" s="44" t="n">
        <v>3.86</v>
      </c>
      <c r="E36" s="44" t="n">
        <v>1.66</v>
      </c>
      <c r="F36" s="45" t="s">
        <v>327</v>
      </c>
    </row>
    <row r="37" customFormat="false" ht="15.75" hidden="false" customHeight="true" outlineLevel="0" collapsed="false">
      <c r="B37" s="6" t="s">
        <v>328</v>
      </c>
      <c r="C37" s="43" t="s">
        <v>329</v>
      </c>
      <c r="D37" s="44" t="n">
        <v>3.48</v>
      </c>
      <c r="E37" s="46" t="n">
        <v>1.49</v>
      </c>
      <c r="F37" s="45" t="s">
        <v>327</v>
      </c>
    </row>
    <row r="38" customFormat="false" ht="15.75" hidden="false" customHeight="true" outlineLevel="0" collapsed="false">
      <c r="B38" s="6" t="s">
        <v>330</v>
      </c>
      <c r="C38" s="43" t="s">
        <v>329</v>
      </c>
      <c r="D38" s="44" t="n">
        <v>3.09</v>
      </c>
      <c r="E38" s="46" t="n">
        <v>1.33</v>
      </c>
      <c r="F38" s="45" t="s">
        <v>327</v>
      </c>
    </row>
    <row r="39" customFormat="false" ht="15.75" hidden="false" customHeight="true" outlineLevel="0" collapsed="false">
      <c r="B39" s="6" t="s">
        <v>331</v>
      </c>
      <c r="C39" s="43" t="s">
        <v>329</v>
      </c>
      <c r="D39" s="46" t="n">
        <v>2.7</v>
      </c>
      <c r="E39" s="46" t="n">
        <v>1.16</v>
      </c>
      <c r="F39" s="47" t="s">
        <v>332</v>
      </c>
    </row>
    <row r="40" customFormat="false" ht="15.75" hidden="false" customHeight="true" outlineLevel="0" collapsed="false">
      <c r="B40" s="6" t="s">
        <v>333</v>
      </c>
      <c r="C40" s="43" t="s">
        <v>329</v>
      </c>
      <c r="D40" s="48" t="n">
        <v>1.93</v>
      </c>
      <c r="E40" s="48" t="n">
        <v>0.83</v>
      </c>
      <c r="F40" s="47" t="s">
        <v>332</v>
      </c>
    </row>
    <row r="41" customFormat="false" ht="15.75" hidden="false" customHeight="true" outlineLevel="0" collapsed="false">
      <c r="B41" s="6" t="s">
        <v>334</v>
      </c>
      <c r="C41" s="43" t="s">
        <v>329</v>
      </c>
      <c r="D41" s="44" t="n">
        <v>3.04</v>
      </c>
      <c r="E41" s="48" t="n">
        <v>0.93</v>
      </c>
      <c r="F41" s="47" t="s">
        <v>332</v>
      </c>
    </row>
  </sheetData>
  <mergeCells count="6">
    <mergeCell ref="A1:C1"/>
    <mergeCell ref="B7:C7"/>
    <mergeCell ref="B10:C10"/>
    <mergeCell ref="B13:C13"/>
    <mergeCell ref="B16:C16"/>
    <mergeCell ref="B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E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5" min="3" style="0" width="20"/>
  </cols>
  <sheetData>
    <row r="1" customFormat="false" ht="24" hidden="false" customHeight="true" outlineLevel="0" collapsed="false">
      <c r="A1" s="1" t="s">
        <v>335</v>
      </c>
      <c r="B1" s="1"/>
      <c r="C1" s="1"/>
    </row>
    <row r="2" customFormat="false" ht="14.25" hidden="false" customHeight="false" outlineLevel="0" collapsed="false">
      <c r="A2" s="49" t="s">
        <v>336</v>
      </c>
    </row>
    <row r="4" customFormat="false" ht="15.75" hidden="false" customHeight="true" outlineLevel="0" collapsed="false">
      <c r="A4" s="7" t="s">
        <v>337</v>
      </c>
      <c r="B4" s="8"/>
      <c r="C4" s="8"/>
    </row>
    <row r="5" customFormat="false" ht="34.5" hidden="false" customHeight="true" outlineLevel="0" collapsed="false">
      <c r="B5" s="50" t="s">
        <v>338</v>
      </c>
      <c r="C5" s="50"/>
    </row>
    <row r="6" customFormat="false" ht="60" hidden="false" customHeight="true" outlineLevel="0" collapsed="false">
      <c r="B6" s="9" t="s">
        <v>339</v>
      </c>
      <c r="C6" s="9"/>
    </row>
    <row r="8" customFormat="false" ht="15.75" hidden="false" customHeight="true" outlineLevel="0" collapsed="false">
      <c r="A8" s="7" t="s">
        <v>340</v>
      </c>
      <c r="B8" s="8"/>
      <c r="C8" s="8"/>
    </row>
    <row r="9" customFormat="false" ht="15.75" hidden="false" customHeight="true" outlineLevel="0" collapsed="false">
      <c r="B9" s="5" t="s">
        <v>341</v>
      </c>
      <c r="C9" s="13" t="s">
        <v>342</v>
      </c>
    </row>
    <row r="10" customFormat="false" ht="15.75" hidden="false" customHeight="true" outlineLevel="0" collapsed="false">
      <c r="B10" s="5" t="s">
        <v>343</v>
      </c>
      <c r="C10" s="13" t="s">
        <v>344</v>
      </c>
    </row>
    <row r="11" customFormat="false" ht="15.75" hidden="false" customHeight="true" outlineLevel="0" collapsed="false">
      <c r="B11" s="5" t="s">
        <v>345</v>
      </c>
      <c r="C11" s="13" t="s">
        <v>346</v>
      </c>
    </row>
    <row r="12" customFormat="false" ht="15.75" hidden="false" customHeight="true" outlineLevel="0" collapsed="false">
      <c r="B12" s="5" t="s">
        <v>9</v>
      </c>
      <c r="C12" s="13" t="s">
        <v>347</v>
      </c>
    </row>
    <row r="13" customFormat="false" ht="15.75" hidden="false" customHeight="true" outlineLevel="0" collapsed="false">
      <c r="B13" s="5" t="s">
        <v>15</v>
      </c>
      <c r="C13" s="13" t="s">
        <v>348</v>
      </c>
    </row>
    <row r="14" customFormat="false" ht="15.75" hidden="false" customHeight="true" outlineLevel="0" collapsed="false">
      <c r="B14" s="5" t="s">
        <v>13</v>
      </c>
      <c r="C14" s="13" t="s">
        <v>349</v>
      </c>
    </row>
    <row r="15" customFormat="false" ht="15.75" hidden="false" customHeight="true" outlineLevel="0" collapsed="false">
      <c r="B15" s="5" t="s">
        <v>350</v>
      </c>
      <c r="C15" s="13" t="s">
        <v>351</v>
      </c>
    </row>
    <row r="16" customFormat="false" ht="15.75" hidden="false" customHeight="true" outlineLevel="0" collapsed="false">
      <c r="B16" s="5" t="s">
        <v>352</v>
      </c>
      <c r="C16" s="13" t="s">
        <v>353</v>
      </c>
    </row>
    <row r="17" customFormat="false" ht="15.75" hidden="false" customHeight="true" outlineLevel="0" collapsed="false">
      <c r="B17" s="5" t="s">
        <v>354</v>
      </c>
      <c r="C17" s="13" t="s">
        <v>355</v>
      </c>
    </row>
    <row r="18" customFormat="false" ht="15.75" hidden="false" customHeight="true" outlineLevel="0" collapsed="false">
      <c r="B18" s="5" t="s">
        <v>356</v>
      </c>
      <c r="C18" s="13" t="s">
        <v>357</v>
      </c>
    </row>
    <row r="19" customFormat="false" ht="15.75" hidden="false" customHeight="true" outlineLevel="0" collapsed="false">
      <c r="B19" s="5" t="s">
        <v>358</v>
      </c>
      <c r="C19" s="13" t="s">
        <v>359</v>
      </c>
    </row>
    <row r="20" customFormat="false" ht="15.75" hidden="false" customHeight="true" outlineLevel="0" collapsed="false">
      <c r="B20" s="5" t="s">
        <v>11</v>
      </c>
      <c r="C20" s="13" t="s">
        <v>360</v>
      </c>
    </row>
    <row r="21" customFormat="false" ht="15.75" hidden="false" customHeight="true" outlineLevel="0" collapsed="false">
      <c r="B21" s="5" t="s">
        <v>361</v>
      </c>
      <c r="C21" s="13" t="s">
        <v>362</v>
      </c>
    </row>
    <row r="22" customFormat="false" ht="15.75" hidden="false" customHeight="true" outlineLevel="0" collapsed="false">
      <c r="B22" s="5" t="s">
        <v>363</v>
      </c>
      <c r="C22" s="13" t="s">
        <v>364</v>
      </c>
    </row>
    <row r="23" customFormat="false" ht="15.75" hidden="false" customHeight="true" outlineLevel="0" collapsed="false">
      <c r="B23" s="5" t="s">
        <v>19</v>
      </c>
      <c r="C23" s="13" t="s">
        <v>365</v>
      </c>
    </row>
    <row r="25" customFormat="false" ht="15.75" hidden="false" customHeight="true" outlineLevel="0" collapsed="false">
      <c r="A25" s="7" t="s">
        <v>366</v>
      </c>
      <c r="B25" s="8"/>
      <c r="C25" s="8"/>
    </row>
    <row r="26" customFormat="false" ht="15.75" hidden="false" customHeight="true" outlineLevel="0" collapsed="false">
      <c r="B26" s="28" t="s">
        <v>367</v>
      </c>
      <c r="C26" s="28" t="s">
        <v>368</v>
      </c>
      <c r="D26" s="28" t="s">
        <v>369</v>
      </c>
      <c r="E26" s="28" t="s">
        <v>370</v>
      </c>
    </row>
    <row r="27" customFormat="false" ht="18" hidden="false" customHeight="true" outlineLevel="0" collapsed="false">
      <c r="B27" s="5" t="s">
        <v>371</v>
      </c>
      <c r="C27" s="33" t="s">
        <v>372</v>
      </c>
      <c r="D27" s="51" t="s">
        <v>373</v>
      </c>
      <c r="E27" s="52" t="s">
        <v>374</v>
      </c>
    </row>
    <row r="28" customFormat="false" ht="18" hidden="false" customHeight="true" outlineLevel="0" collapsed="false">
      <c r="B28" s="5" t="s">
        <v>375</v>
      </c>
      <c r="C28" s="33" t="s">
        <v>376</v>
      </c>
      <c r="D28" s="51" t="s">
        <v>377</v>
      </c>
      <c r="E28" s="52" t="s">
        <v>374</v>
      </c>
    </row>
    <row r="29" customFormat="false" ht="18" hidden="false" customHeight="true" outlineLevel="0" collapsed="false">
      <c r="B29" s="5" t="s">
        <v>378</v>
      </c>
      <c r="C29" s="33" t="s">
        <v>379</v>
      </c>
      <c r="D29" s="53" t="s">
        <v>380</v>
      </c>
      <c r="E29" s="41" t="s">
        <v>381</v>
      </c>
    </row>
    <row r="30" customFormat="false" ht="18" hidden="false" customHeight="true" outlineLevel="0" collapsed="false">
      <c r="B30" s="5" t="s">
        <v>382</v>
      </c>
      <c r="C30" s="33" t="s">
        <v>383</v>
      </c>
      <c r="D30" s="51" t="s">
        <v>384</v>
      </c>
      <c r="E30" s="52" t="s">
        <v>385</v>
      </c>
    </row>
    <row r="31" customFormat="false" ht="18" hidden="false" customHeight="true" outlineLevel="0" collapsed="false">
      <c r="B31" s="5" t="s">
        <v>386</v>
      </c>
      <c r="C31" s="33" t="s">
        <v>387</v>
      </c>
      <c r="D31" s="51" t="s">
        <v>388</v>
      </c>
      <c r="E31" s="52" t="s">
        <v>389</v>
      </c>
    </row>
    <row r="32" customFormat="false" ht="18" hidden="false" customHeight="true" outlineLevel="0" collapsed="false">
      <c r="B32" s="5" t="s">
        <v>390</v>
      </c>
      <c r="C32" s="33" t="s">
        <v>391</v>
      </c>
      <c r="D32" s="51" t="s">
        <v>392</v>
      </c>
      <c r="E32" s="52" t="s">
        <v>393</v>
      </c>
    </row>
    <row r="33" customFormat="false" ht="18" hidden="false" customHeight="true" outlineLevel="0" collapsed="false">
      <c r="B33" s="5" t="s">
        <v>394</v>
      </c>
      <c r="C33" s="33" t="s">
        <v>217</v>
      </c>
      <c r="D33" s="51" t="s">
        <v>395</v>
      </c>
      <c r="E33" s="52" t="s">
        <v>396</v>
      </c>
    </row>
    <row r="34" customFormat="false" ht="18" hidden="false" customHeight="true" outlineLevel="0" collapsed="false">
      <c r="B34" s="5" t="s">
        <v>397</v>
      </c>
      <c r="C34" s="33" t="s">
        <v>245</v>
      </c>
      <c r="D34" s="51" t="s">
        <v>398</v>
      </c>
      <c r="E34" s="52" t="s">
        <v>399</v>
      </c>
    </row>
    <row r="35" customFormat="false" ht="18" hidden="false" customHeight="true" outlineLevel="0" collapsed="false">
      <c r="B35" s="5" t="s">
        <v>400</v>
      </c>
      <c r="C35" s="33" t="s">
        <v>401</v>
      </c>
      <c r="D35" s="51" t="s">
        <v>402</v>
      </c>
      <c r="E35" s="41" t="s">
        <v>326</v>
      </c>
    </row>
    <row r="36" customFormat="false" ht="18" hidden="false" customHeight="true" outlineLevel="0" collapsed="false">
      <c r="B36" s="5" t="s">
        <v>403</v>
      </c>
      <c r="C36" s="33" t="s">
        <v>404</v>
      </c>
      <c r="D36" s="51" t="s">
        <v>405</v>
      </c>
      <c r="E36" s="41" t="s">
        <v>326</v>
      </c>
    </row>
    <row r="37" customFormat="false" ht="18" hidden="false" customHeight="true" outlineLevel="0" collapsed="false">
      <c r="B37" s="5" t="s">
        <v>406</v>
      </c>
      <c r="C37" s="33" t="s">
        <v>407</v>
      </c>
      <c r="D37" s="51" t="s">
        <v>405</v>
      </c>
      <c r="E37" s="41" t="s">
        <v>326</v>
      </c>
    </row>
    <row r="38" customFormat="false" ht="18" hidden="false" customHeight="true" outlineLevel="0" collapsed="false">
      <c r="B38" s="5" t="s">
        <v>408</v>
      </c>
      <c r="C38" s="33" t="s">
        <v>409</v>
      </c>
      <c r="D38" s="51" t="s">
        <v>410</v>
      </c>
      <c r="E38" s="41" t="s">
        <v>326</v>
      </c>
    </row>
    <row r="39" customFormat="false" ht="18" hidden="false" customHeight="true" outlineLevel="0" collapsed="false">
      <c r="B39" s="5" t="s">
        <v>411</v>
      </c>
      <c r="C39" s="33" t="s">
        <v>412</v>
      </c>
      <c r="D39" s="51" t="s">
        <v>413</v>
      </c>
      <c r="E39" s="41" t="s">
        <v>326</v>
      </c>
    </row>
    <row r="40" customFormat="false" ht="18" hidden="false" customHeight="true" outlineLevel="0" collapsed="false">
      <c r="B40" s="5" t="s">
        <v>414</v>
      </c>
      <c r="C40" s="33" t="s">
        <v>415</v>
      </c>
      <c r="D40" s="51" t="s">
        <v>416</v>
      </c>
      <c r="E40" s="41" t="s">
        <v>326</v>
      </c>
    </row>
    <row r="42" customFormat="false" ht="15.75" hidden="false" customHeight="true" outlineLevel="0" collapsed="false">
      <c r="A42" s="7" t="s">
        <v>417</v>
      </c>
      <c r="B42" s="8"/>
      <c r="C42" s="8"/>
    </row>
    <row r="43" customFormat="false" ht="15" hidden="false" customHeight="true" outlineLevel="0" collapsed="false">
      <c r="B43" s="7" t="s">
        <v>418</v>
      </c>
      <c r="C43" s="6" t="s">
        <v>419</v>
      </c>
    </row>
    <row r="44" customFormat="false" ht="15" hidden="false" customHeight="true" outlineLevel="0" collapsed="false">
      <c r="B44" s="7" t="s">
        <v>420</v>
      </c>
      <c r="C44" s="6" t="s">
        <v>421</v>
      </c>
    </row>
    <row r="45" customFormat="false" ht="15" hidden="false" customHeight="true" outlineLevel="0" collapsed="false">
      <c r="B45" s="7" t="s">
        <v>422</v>
      </c>
      <c r="C45" s="6" t="s">
        <v>423</v>
      </c>
    </row>
    <row r="46" customFormat="false" ht="15" hidden="false" customHeight="true" outlineLevel="0" collapsed="false">
      <c r="B46" s="7" t="s">
        <v>424</v>
      </c>
      <c r="C46" s="6" t="s">
        <v>425</v>
      </c>
    </row>
    <row r="47" customFormat="false" ht="15" hidden="false" customHeight="true" outlineLevel="0" collapsed="false">
      <c r="B47" s="7" t="s">
        <v>426</v>
      </c>
      <c r="C47" s="6" t="s">
        <v>427</v>
      </c>
    </row>
    <row r="48" customFormat="false" ht="15" hidden="false" customHeight="true" outlineLevel="0" collapsed="false">
      <c r="B48" s="7" t="s">
        <v>428</v>
      </c>
      <c r="C48" s="6" t="s">
        <v>429</v>
      </c>
    </row>
    <row r="49" customFormat="false" ht="15" hidden="false" customHeight="true" outlineLevel="0" collapsed="false">
      <c r="B49" s="7" t="s">
        <v>430</v>
      </c>
      <c r="C49" s="6" t="s">
        <v>431</v>
      </c>
    </row>
    <row r="50" customFormat="false" ht="15" hidden="false" customHeight="true" outlineLevel="0" collapsed="false">
      <c r="B50" s="7" t="s">
        <v>432</v>
      </c>
      <c r="C50" s="6" t="s">
        <v>433</v>
      </c>
    </row>
    <row r="51" customFormat="false" ht="15" hidden="false" customHeight="true" outlineLevel="0" collapsed="false">
      <c r="B51" s="7" t="s">
        <v>434</v>
      </c>
      <c r="C51" s="6" t="s">
        <v>435</v>
      </c>
    </row>
    <row r="52" customFormat="false" ht="15" hidden="false" customHeight="true" outlineLevel="0" collapsed="false">
      <c r="B52" s="7" t="s">
        <v>436</v>
      </c>
      <c r="C52" s="6" t="s">
        <v>437</v>
      </c>
    </row>
    <row r="54" customFormat="false" ht="15.75" hidden="false" customHeight="true" outlineLevel="0" collapsed="false">
      <c r="A54" s="7" t="s">
        <v>438</v>
      </c>
      <c r="B54" s="8"/>
      <c r="C54" s="8"/>
    </row>
    <row r="55" customFormat="false" ht="19.5" hidden="false" customHeight="true" outlineLevel="0" collapsed="false">
      <c r="B55" s="5" t="s">
        <v>439</v>
      </c>
      <c r="C55" s="13" t="s">
        <v>440</v>
      </c>
    </row>
    <row r="56" customFormat="false" ht="19.5" hidden="false" customHeight="true" outlineLevel="0" collapsed="false">
      <c r="B56" s="5" t="s">
        <v>441</v>
      </c>
      <c r="C56" s="13" t="s">
        <v>442</v>
      </c>
    </row>
    <row r="57" customFormat="false" ht="19.5" hidden="false" customHeight="true" outlineLevel="0" collapsed="false">
      <c r="B57" s="5" t="s">
        <v>443</v>
      </c>
      <c r="C57" s="13" t="s">
        <v>444</v>
      </c>
    </row>
    <row r="58" customFormat="false" ht="19.5" hidden="false" customHeight="true" outlineLevel="0" collapsed="false">
      <c r="B58" s="5" t="s">
        <v>445</v>
      </c>
      <c r="C58" s="13" t="s">
        <v>446</v>
      </c>
    </row>
    <row r="59" customFormat="false" ht="19.5" hidden="false" customHeight="true" outlineLevel="0" collapsed="false">
      <c r="B59" s="5" t="s">
        <v>447</v>
      </c>
      <c r="C59" s="13" t="s">
        <v>448</v>
      </c>
    </row>
    <row r="60" customFormat="false" ht="19.5" hidden="false" customHeight="true" outlineLevel="0" collapsed="false">
      <c r="B60" s="5" t="s">
        <v>449</v>
      </c>
      <c r="C60" s="13" t="s">
        <v>450</v>
      </c>
    </row>
    <row r="61" customFormat="false" ht="19.5" hidden="false" customHeight="true" outlineLevel="0" collapsed="false">
      <c r="B61" s="5" t="s">
        <v>451</v>
      </c>
      <c r="C61" s="13" t="s">
        <v>452</v>
      </c>
    </row>
    <row r="63" customFormat="false" ht="15.75" hidden="false" customHeight="true" outlineLevel="0" collapsed="false">
      <c r="A63" s="7" t="s">
        <v>453</v>
      </c>
      <c r="B63" s="8"/>
      <c r="C63" s="8"/>
    </row>
    <row r="64" customFormat="false" ht="15.75" hidden="false" customHeight="true" outlineLevel="0" collapsed="false">
      <c r="B64" s="5" t="s">
        <v>454</v>
      </c>
      <c r="C64" s="6" t="s">
        <v>455</v>
      </c>
    </row>
    <row r="65" customFormat="false" ht="15.75" hidden="false" customHeight="true" outlineLevel="0" collapsed="false">
      <c r="B65" s="5" t="s">
        <v>456</v>
      </c>
      <c r="C65" s="6" t="s">
        <v>457</v>
      </c>
    </row>
    <row r="66" customFormat="false" ht="15.75" hidden="false" customHeight="true" outlineLevel="0" collapsed="false">
      <c r="B66" s="5" t="s">
        <v>458</v>
      </c>
      <c r="C66" s="6" t="s">
        <v>459</v>
      </c>
    </row>
    <row r="67" customFormat="false" ht="15.75" hidden="false" customHeight="true" outlineLevel="0" collapsed="false">
      <c r="B67" s="5" t="s">
        <v>460</v>
      </c>
      <c r="C67" s="6" t="s">
        <v>461</v>
      </c>
    </row>
    <row r="68" customFormat="false" ht="15.75" hidden="false" customHeight="true" outlineLevel="0" collapsed="false">
      <c r="B68" s="5" t="s">
        <v>462</v>
      </c>
      <c r="C68" s="6" t="s">
        <v>463</v>
      </c>
    </row>
  </sheetData>
  <mergeCells count="3">
    <mergeCell ref="A1:C1"/>
    <mergeCell ref="B5:C5"/>
    <mergeCell ref="B6:C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0082"/>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0" width="32"/>
    <col collapsed="false" customWidth="true" hidden="false" outlineLevel="0" max="9" min="2" style="0" width="14"/>
  </cols>
  <sheetData>
    <row r="1" customFormat="false" ht="24" hidden="false" customHeight="true" outlineLevel="0" collapsed="false">
      <c r="A1" s="1" t="s">
        <v>464</v>
      </c>
      <c r="B1" s="1"/>
      <c r="C1" s="1"/>
      <c r="D1" s="1"/>
      <c r="E1" s="1"/>
      <c r="F1" s="1"/>
      <c r="G1" s="1"/>
      <c r="H1" s="1"/>
      <c r="I1" s="1"/>
    </row>
    <row r="2" customFormat="false" ht="14.25" hidden="false" customHeight="false" outlineLevel="0" collapsed="false">
      <c r="A2" s="12" t="s">
        <v>465</v>
      </c>
    </row>
    <row r="4" customFormat="false" ht="15.75" hidden="false" customHeight="true" outlineLevel="0" collapsed="false">
      <c r="A4" s="7" t="s">
        <v>466</v>
      </c>
      <c r="B4" s="8"/>
      <c r="C4" s="8"/>
      <c r="D4" s="8"/>
      <c r="E4" s="8"/>
      <c r="F4" s="8"/>
      <c r="G4" s="8"/>
      <c r="H4" s="8"/>
      <c r="I4" s="8"/>
    </row>
    <row r="5" customFormat="false" ht="19.5" hidden="false" customHeight="true" outlineLevel="0" collapsed="false">
      <c r="A5" s="28" t="s">
        <v>467</v>
      </c>
      <c r="B5" s="28" t="s">
        <v>468</v>
      </c>
      <c r="C5" s="28" t="s">
        <v>469</v>
      </c>
      <c r="D5" s="28" t="s">
        <v>470</v>
      </c>
      <c r="E5" s="28" t="s">
        <v>471</v>
      </c>
      <c r="F5" s="28" t="s">
        <v>472</v>
      </c>
      <c r="G5" s="28" t="s">
        <v>473</v>
      </c>
      <c r="H5" s="28" t="s">
        <v>474</v>
      </c>
    </row>
    <row r="6" customFormat="false" ht="15" hidden="false" customHeight="true" outlineLevel="0" collapsed="false">
      <c r="A6" s="10" t="s">
        <v>475</v>
      </c>
      <c r="B6" s="54" t="n">
        <f aca="false">'Financial Statements'!$D$10*(1+VALUE($A6))/('Sources and Assumptions'!$C$17*('Sources and Assumptions'!$C$14+VALUE(MID(B$5,5,3))/10000))</f>
        <v>119.719921666667</v>
      </c>
      <c r="C6" s="54" t="n">
        <f aca="false">'Financial Statements'!$D$10*(1+VALUE($A6))/('Sources and Assumptions'!$C$17*('Sources and Assumptions'!$C$14+VALUE(MID(C$5,5,3))/10000))</f>
        <v>114.9311248</v>
      </c>
      <c r="D6" s="54" t="n">
        <f aca="false">'Financial Statements'!$D$10*(1+VALUE($A6))/('Sources and Assumptions'!$C$17*('Sources and Assumptions'!$C$14+VALUE(MID(D$5,5,3))/10000))</f>
        <v>110.510696923077</v>
      </c>
      <c r="E6" s="54" t="n">
        <f aca="false">'Financial Statements'!$D$10*(1+VALUE($A6))/('Sources and Assumptions'!$C$17*('Sources and Assumptions'!$C$14+VALUE(MID(E$5,5,3))/10000))</f>
        <v>106.417708148148</v>
      </c>
      <c r="F6" s="54" t="n">
        <f aca="false">'Financial Statements'!$D$10*(1+VALUE($A6))/('Sources and Assumptions'!$C$17*('Sources and Assumptions'!$C$14+VALUE(MID(F$5,5,3))/10000))</f>
        <v>102.617075714286</v>
      </c>
      <c r="G6" s="54" t="n">
        <f aca="false">'Financial Statements'!$D$10*(1+VALUE($A6))/('Sources and Assumptions'!$C$17*('Sources and Assumptions'!$C$14+VALUE(MID(G$5,5,3))/10000))</f>
        <v>99.078555862069</v>
      </c>
      <c r="H6" s="54" t="n">
        <f aca="false">'Financial Statements'!$D$10*(1+VALUE($A6))/('Sources and Assumptions'!$C$17*('Sources and Assumptions'!$C$14+VALUE(MID(H$5,5,3))/10000))</f>
        <v>95.7759373333333</v>
      </c>
    </row>
    <row r="7" customFormat="false" ht="15" hidden="false" customHeight="true" outlineLevel="0" collapsed="false">
      <c r="A7" s="10" t="s">
        <v>476</v>
      </c>
      <c r="B7" s="54" t="n">
        <f aca="false">'Financial Statements'!$D$10*(1+VALUE($A7))/('Sources and Assumptions'!$C$17*('Sources and Assumptions'!$C$14+VALUE(MID(B$5,5,3))/10000))</f>
        <v>113.733925583333</v>
      </c>
      <c r="C7" s="54" t="n">
        <f aca="false">'Financial Statements'!$D$10*(1+VALUE($A7))/('Sources and Assumptions'!$C$17*('Sources and Assumptions'!$C$14+VALUE(MID(C$5,5,3))/10000))</f>
        <v>109.18456856</v>
      </c>
      <c r="D7" s="54" t="n">
        <f aca="false">'Financial Statements'!$D$10*(1+VALUE($A7))/('Sources and Assumptions'!$C$17*('Sources and Assumptions'!$C$14+VALUE(MID(D$5,5,3))/10000))</f>
        <v>104.985162076923</v>
      </c>
      <c r="E7" s="54" t="n">
        <f aca="false">'Financial Statements'!$D$10*(1+VALUE($A7))/('Sources and Assumptions'!$C$17*('Sources and Assumptions'!$C$14+VALUE(MID(E$5,5,3))/10000))</f>
        <v>101.096822740741</v>
      </c>
      <c r="F7" s="54" t="n">
        <f aca="false">'Financial Statements'!$D$10*(1+VALUE($A7))/('Sources and Assumptions'!$C$17*('Sources and Assumptions'!$C$14+VALUE(MID(F$5,5,3))/10000))</f>
        <v>97.4862219285714</v>
      </c>
      <c r="G7" s="54" t="n">
        <f aca="false">'Financial Statements'!$D$10*(1+VALUE($A7))/('Sources and Assumptions'!$C$17*('Sources and Assumptions'!$C$14+VALUE(MID(G$5,5,3))/10000))</f>
        <v>94.1246280689655</v>
      </c>
      <c r="H7" s="54" t="n">
        <f aca="false">'Financial Statements'!$D$10*(1+VALUE($A7))/('Sources and Assumptions'!$C$17*('Sources and Assumptions'!$C$14+VALUE(MID(H$5,5,3))/10000))</f>
        <v>90.9871404666667</v>
      </c>
    </row>
    <row r="8" customFormat="false" ht="15" hidden="false" customHeight="true" outlineLevel="0" collapsed="false">
      <c r="A8" s="10" t="s">
        <v>477</v>
      </c>
      <c r="B8" s="54" t="n">
        <f aca="false">'Financial Statements'!$D$10*(1+VALUE($A8))/('Sources and Assumptions'!$C$17*('Sources and Assumptions'!$C$14+VALUE(MID(B$5,5,3))/10000))</f>
        <v>107.7479295</v>
      </c>
      <c r="C8" s="54" t="n">
        <f aca="false">'Financial Statements'!$D$10*(1+VALUE($A8))/('Sources and Assumptions'!$C$17*('Sources and Assumptions'!$C$14+VALUE(MID(C$5,5,3))/10000))</f>
        <v>103.43801232</v>
      </c>
      <c r="D8" s="54" t="n">
        <f aca="false">'Financial Statements'!$D$10*(1+VALUE($A8))/('Sources and Assumptions'!$C$17*('Sources and Assumptions'!$C$14+VALUE(MID(D$5,5,3))/10000))</f>
        <v>99.4596272307692</v>
      </c>
      <c r="E8" s="54" t="n">
        <f aca="false">'Financial Statements'!$D$10*(1+VALUE($A8))/('Sources and Assumptions'!$C$17*('Sources and Assumptions'!$C$14+VALUE(MID(E$5,5,3))/10000))</f>
        <v>95.7759373333333</v>
      </c>
      <c r="F8" s="54" t="n">
        <f aca="false">'Financial Statements'!$D$10*(1+VALUE($A8))/('Sources and Assumptions'!$C$17*('Sources and Assumptions'!$C$14+VALUE(MID(F$5,5,3))/10000))</f>
        <v>92.3553681428571</v>
      </c>
      <c r="G8" s="54" t="n">
        <f aca="false">'Financial Statements'!$D$10*(1+VALUE($A8))/('Sources and Assumptions'!$C$17*('Sources and Assumptions'!$C$14+VALUE(MID(G$5,5,3))/10000))</f>
        <v>89.1707002758621</v>
      </c>
      <c r="H8" s="54" t="n">
        <f aca="false">'Financial Statements'!$D$10*(1+VALUE($A8))/('Sources and Assumptions'!$C$17*('Sources and Assumptions'!$C$14+VALUE(MID(H$5,5,3))/10000))</f>
        <v>86.1983436</v>
      </c>
    </row>
    <row r="9" customFormat="false" ht="15" hidden="false" customHeight="true" outlineLevel="0" collapsed="false">
      <c r="A9" s="10" t="s">
        <v>478</v>
      </c>
      <c r="B9" s="54" t="n">
        <f aca="false">'Financial Statements'!$D$10*(1+VALUE($A9))/('Sources and Assumptions'!$C$17*('Sources and Assumptions'!$C$14+VALUE(MID(B$5,5,3))/10000))</f>
        <v>101.761933416667</v>
      </c>
      <c r="C9" s="54" t="n">
        <f aca="false">'Financial Statements'!$D$10*(1+VALUE($A9))/('Sources and Assumptions'!$C$17*('Sources and Assumptions'!$C$14+VALUE(MID(C$5,5,3))/10000))</f>
        <v>97.69145608</v>
      </c>
      <c r="D9" s="54" t="n">
        <f aca="false">'Financial Statements'!$D$10*(1+VALUE($A9))/('Sources and Assumptions'!$C$17*('Sources and Assumptions'!$C$14+VALUE(MID(D$5,5,3))/10000))</f>
        <v>93.9340923846154</v>
      </c>
      <c r="E9" s="54" t="n">
        <f aca="false">'Financial Statements'!$D$10*(1+VALUE($A9))/('Sources and Assumptions'!$C$17*('Sources and Assumptions'!$C$14+VALUE(MID(E$5,5,3))/10000))</f>
        <v>90.4550519259259</v>
      </c>
      <c r="F9" s="54" t="n">
        <f aca="false">'Financial Statements'!$D$10*(1+VALUE($A9))/('Sources and Assumptions'!$C$17*('Sources and Assumptions'!$C$14+VALUE(MID(F$5,5,3))/10000))</f>
        <v>87.2245143571428</v>
      </c>
      <c r="G9" s="54" t="n">
        <f aca="false">'Financial Statements'!$D$10*(1+VALUE($A9))/('Sources and Assumptions'!$C$17*('Sources and Assumptions'!$C$14+VALUE(MID(G$5,5,3))/10000))</f>
        <v>84.2167724827586</v>
      </c>
      <c r="H9" s="54" t="n">
        <f aca="false">'Financial Statements'!$D$10*(1+VALUE($A9))/('Sources and Assumptions'!$C$17*('Sources and Assumptions'!$C$14+VALUE(MID(H$5,5,3))/10000))</f>
        <v>81.4095467333333</v>
      </c>
    </row>
    <row r="10" customFormat="false" ht="15" hidden="false" customHeight="true" outlineLevel="0" collapsed="false">
      <c r="A10" s="10" t="s">
        <v>479</v>
      </c>
      <c r="B10" s="54" t="n">
        <f aca="false">'Financial Statements'!$D$10*(1+VALUE($A10))/('Sources and Assumptions'!$C$17*('Sources and Assumptions'!$C$14+VALUE(MID(B$5,5,3))/10000))</f>
        <v>95.7759373333334</v>
      </c>
      <c r="C10" s="54" t="n">
        <f aca="false">'Financial Statements'!$D$10*(1+VALUE($A10))/('Sources and Assumptions'!$C$17*('Sources and Assumptions'!$C$14+VALUE(MID(C$5,5,3))/10000))</f>
        <v>91.94489984</v>
      </c>
      <c r="D10" s="54" t="n">
        <f aca="false">'Financial Statements'!$D$10*(1+VALUE($A10))/('Sources and Assumptions'!$C$17*('Sources and Assumptions'!$C$14+VALUE(MID(D$5,5,3))/10000))</f>
        <v>88.4085575384616</v>
      </c>
      <c r="E10" s="54" t="n">
        <f aca="false">'Financial Statements'!$D$10*(1+VALUE($A10))/('Sources and Assumptions'!$C$17*('Sources and Assumptions'!$C$14+VALUE(MID(E$5,5,3))/10000))</f>
        <v>85.1341665185185</v>
      </c>
      <c r="F10" s="54" t="n">
        <f aca="false">'Financial Statements'!$D$10*(1+VALUE($A10))/('Sources and Assumptions'!$C$17*('Sources and Assumptions'!$C$14+VALUE(MID(F$5,5,3))/10000))</f>
        <v>82.0936605714286</v>
      </c>
      <c r="G10" s="54" t="n">
        <f aca="false">'Financial Statements'!$D$10*(1+VALUE($A10))/('Sources and Assumptions'!$C$17*('Sources and Assumptions'!$C$14+VALUE(MID(G$5,5,3))/10000))</f>
        <v>79.2628446896552</v>
      </c>
      <c r="H10" s="54" t="n">
        <f aca="false">'Financial Statements'!$D$10*(1+VALUE($A10))/('Sources and Assumptions'!$C$17*('Sources and Assumptions'!$C$14+VALUE(MID(H$5,5,3))/10000))</f>
        <v>76.6207498666667</v>
      </c>
    </row>
    <row r="11" customFormat="false" ht="15" hidden="false" customHeight="true" outlineLevel="0" collapsed="false">
      <c r="A11" s="10" t="s">
        <v>480</v>
      </c>
      <c r="B11" s="54" t="n">
        <f aca="false">'Financial Statements'!$D$10*(1+VALUE($A11))/('Sources and Assumptions'!$C$17*('Sources and Assumptions'!$C$14+VALUE(MID(B$5,5,3))/10000))</f>
        <v>89.78994125</v>
      </c>
      <c r="C11" s="54" t="n">
        <f aca="false">'Financial Statements'!$D$10*(1+VALUE($A11))/('Sources and Assumptions'!$C$17*('Sources and Assumptions'!$C$14+VALUE(MID(C$5,5,3))/10000))</f>
        <v>86.1983436</v>
      </c>
      <c r="D11" s="54" t="n">
        <f aca="false">'Financial Statements'!$D$10*(1+VALUE($A11))/('Sources and Assumptions'!$C$17*('Sources and Assumptions'!$C$14+VALUE(MID(D$5,5,3))/10000))</f>
        <v>82.8830226923077</v>
      </c>
      <c r="E11" s="54" t="n">
        <f aca="false">'Financial Statements'!$D$10*(1+VALUE($A11))/('Sources and Assumptions'!$C$17*('Sources and Assumptions'!$C$14+VALUE(MID(E$5,5,3))/10000))</f>
        <v>79.8132811111111</v>
      </c>
      <c r="F11" s="54" t="n">
        <f aca="false">'Financial Statements'!$D$10*(1+VALUE($A11))/('Sources and Assumptions'!$C$17*('Sources and Assumptions'!$C$14+VALUE(MID(F$5,5,3))/10000))</f>
        <v>76.9628067857143</v>
      </c>
      <c r="G11" s="54" t="n">
        <f aca="false">'Financial Statements'!$D$10*(1+VALUE($A11))/('Sources and Assumptions'!$C$17*('Sources and Assumptions'!$C$14+VALUE(MID(G$5,5,3))/10000))</f>
        <v>74.3089168965517</v>
      </c>
      <c r="H11" s="54" t="n">
        <f aca="false">'Financial Statements'!$D$10*(1+VALUE($A11))/('Sources and Assumptions'!$C$17*('Sources and Assumptions'!$C$14+VALUE(MID(H$5,5,3))/10000))</f>
        <v>71.831953</v>
      </c>
    </row>
    <row r="12" customFormat="false" ht="15" hidden="false" customHeight="true" outlineLevel="0" collapsed="false">
      <c r="A12" s="10" t="s">
        <v>481</v>
      </c>
      <c r="B12" s="54" t="n">
        <f aca="false">'Financial Statements'!$D$10*(1+VALUE($A12))/('Sources and Assumptions'!$C$17*('Sources and Assumptions'!$C$14+VALUE(MID(B$5,5,3))/10000))</f>
        <v>83.8039451666667</v>
      </c>
      <c r="C12" s="54" t="n">
        <f aca="false">'Financial Statements'!$D$10*(1+VALUE($A12))/('Sources and Assumptions'!$C$17*('Sources and Assumptions'!$C$14+VALUE(MID(C$5,5,3))/10000))</f>
        <v>80.45178736</v>
      </c>
      <c r="D12" s="54" t="n">
        <f aca="false">'Financial Statements'!$D$10*(1+VALUE($A12))/('Sources and Assumptions'!$C$17*('Sources and Assumptions'!$C$14+VALUE(MID(D$5,5,3))/10000))</f>
        <v>77.3574878461538</v>
      </c>
      <c r="E12" s="54" t="n">
        <f aca="false">'Financial Statements'!$D$10*(1+VALUE($A12))/('Sources and Assumptions'!$C$17*('Sources and Assumptions'!$C$14+VALUE(MID(E$5,5,3))/10000))</f>
        <v>74.4923957037037</v>
      </c>
      <c r="F12" s="54" t="n">
        <f aca="false">'Financial Statements'!$D$10*(1+VALUE($A12))/('Sources and Assumptions'!$C$17*('Sources and Assumptions'!$C$14+VALUE(MID(F$5,5,3))/10000))</f>
        <v>71.831953</v>
      </c>
      <c r="G12" s="54" t="n">
        <f aca="false">'Financial Statements'!$D$10*(1+VALUE($A12))/('Sources and Assumptions'!$C$17*('Sources and Assumptions'!$C$14+VALUE(MID(G$5,5,3))/10000))</f>
        <v>69.3549891034483</v>
      </c>
      <c r="H12" s="54" t="n">
        <f aca="false">'Financial Statements'!$D$10*(1+VALUE($A12))/('Sources and Assumptions'!$C$17*('Sources and Assumptions'!$C$14+VALUE(MID(H$5,5,3))/10000))</f>
        <v>67.0431561333333</v>
      </c>
    </row>
    <row r="13" customFormat="false" ht="36" hidden="false" customHeight="true" outlineLevel="0" collapsed="false">
      <c r="A13" s="55" t="s">
        <v>482</v>
      </c>
      <c r="B13" s="55"/>
      <c r="C13" s="55"/>
      <c r="D13" s="55"/>
      <c r="E13" s="55"/>
      <c r="F13" s="55"/>
      <c r="G13" s="55"/>
      <c r="H13" s="55"/>
    </row>
    <row r="15" customFormat="false" ht="15.75" hidden="false" customHeight="true" outlineLevel="0" collapsed="false">
      <c r="A15" s="7" t="s">
        <v>483</v>
      </c>
      <c r="B15" s="8"/>
      <c r="C15" s="8"/>
      <c r="D15" s="8"/>
      <c r="E15" s="8"/>
      <c r="F15" s="8"/>
      <c r="G15" s="8"/>
      <c r="H15" s="8"/>
      <c r="I15" s="8"/>
    </row>
    <row r="16" customFormat="false" ht="19.5" hidden="false" customHeight="true" outlineLevel="0" collapsed="false">
      <c r="A16" s="28" t="s">
        <v>484</v>
      </c>
      <c r="B16" s="28" t="s">
        <v>485</v>
      </c>
      <c r="C16" s="28" t="s">
        <v>486</v>
      </c>
      <c r="D16" s="28" t="s">
        <v>487</v>
      </c>
      <c r="E16" s="28" t="s">
        <v>488</v>
      </c>
      <c r="F16" s="28" t="s">
        <v>489</v>
      </c>
      <c r="G16" s="28" t="s">
        <v>490</v>
      </c>
      <c r="H16" s="28" t="s">
        <v>491</v>
      </c>
    </row>
    <row r="17" customFormat="false" ht="15" hidden="false" customHeight="true" outlineLevel="0" collapsed="false">
      <c r="A17" s="10" t="s">
        <v>492</v>
      </c>
      <c r="B17" s="56" t="n">
        <v>0</v>
      </c>
      <c r="C17" s="56" t="n">
        <v>0</v>
      </c>
      <c r="D17" s="56" t="n">
        <v>0</v>
      </c>
      <c r="E17" s="56" t="n">
        <v>0</v>
      </c>
      <c r="F17" s="56" t="n">
        <v>0</v>
      </c>
      <c r="G17" s="56" t="n">
        <v>0</v>
      </c>
      <c r="H17" s="56" t="n">
        <v>0</v>
      </c>
    </row>
    <row r="18" customFormat="false" ht="15" hidden="false" customHeight="true" outlineLevel="0" collapsed="false">
      <c r="A18" s="10" t="s">
        <v>493</v>
      </c>
      <c r="B18" s="56" t="n">
        <v>0</v>
      </c>
      <c r="C18" s="56" t="n">
        <v>0</v>
      </c>
      <c r="D18" s="56" t="n">
        <v>0</v>
      </c>
      <c r="E18" s="56" t="n">
        <v>0</v>
      </c>
      <c r="F18" s="56" t="n">
        <v>0</v>
      </c>
      <c r="G18" s="56" t="n">
        <v>0</v>
      </c>
      <c r="H18" s="56" t="n">
        <v>0</v>
      </c>
    </row>
    <row r="19" customFormat="false" ht="15" hidden="false" customHeight="true" outlineLevel="0" collapsed="false">
      <c r="A19" s="10" t="s">
        <v>494</v>
      </c>
      <c r="B19" s="56" t="n">
        <v>0</v>
      </c>
      <c r="C19" s="56" t="n">
        <v>0</v>
      </c>
      <c r="D19" s="56" t="n">
        <v>0</v>
      </c>
      <c r="E19" s="56" t="n">
        <v>0</v>
      </c>
      <c r="F19" s="56" t="n">
        <v>0</v>
      </c>
      <c r="G19" s="56" t="n">
        <v>0</v>
      </c>
      <c r="H19" s="56" t="n">
        <v>0</v>
      </c>
    </row>
    <row r="20" customFormat="false" ht="15" hidden="false" customHeight="true" outlineLevel="0" collapsed="false">
      <c r="A20" s="10" t="s">
        <v>495</v>
      </c>
      <c r="B20" s="56" t="n">
        <v>0</v>
      </c>
      <c r="C20" s="56" t="n">
        <v>0</v>
      </c>
      <c r="D20" s="56" t="n">
        <v>0</v>
      </c>
      <c r="E20" s="56" t="n">
        <v>0</v>
      </c>
      <c r="F20" s="56" t="n">
        <v>0</v>
      </c>
      <c r="G20" s="56" t="n">
        <v>0</v>
      </c>
      <c r="H20" s="56" t="n">
        <v>0</v>
      </c>
    </row>
    <row r="21" customFormat="false" ht="15" hidden="false" customHeight="true" outlineLevel="0" collapsed="false">
      <c r="A21" s="10" t="s">
        <v>496</v>
      </c>
      <c r="B21" s="56" t="n">
        <v>0</v>
      </c>
      <c r="C21" s="56" t="n">
        <v>0</v>
      </c>
      <c r="D21" s="56" t="n">
        <v>0</v>
      </c>
      <c r="E21" s="56" t="n">
        <v>0</v>
      </c>
      <c r="F21" s="56" t="n">
        <v>0</v>
      </c>
      <c r="G21" s="56" t="n">
        <v>0</v>
      </c>
      <c r="H21" s="56" t="n">
        <v>0</v>
      </c>
    </row>
    <row r="22" customFormat="false" ht="15" hidden="false" customHeight="true" outlineLevel="0" collapsed="false">
      <c r="A22" s="10" t="s">
        <v>497</v>
      </c>
      <c r="B22" s="56" t="n">
        <v>0</v>
      </c>
      <c r="C22" s="56" t="n">
        <v>0</v>
      </c>
      <c r="D22" s="56" t="n">
        <v>0</v>
      </c>
      <c r="E22" s="56" t="n">
        <v>0</v>
      </c>
      <c r="F22" s="56" t="n">
        <v>0</v>
      </c>
      <c r="G22" s="56" t="n">
        <v>0</v>
      </c>
      <c r="H22" s="56" t="n">
        <v>0</v>
      </c>
    </row>
    <row r="23" customFormat="false" ht="15" hidden="false" customHeight="true" outlineLevel="0" collapsed="false">
      <c r="A23" s="10" t="s">
        <v>498</v>
      </c>
      <c r="B23" s="56" t="n">
        <v>0</v>
      </c>
      <c r="C23" s="56" t="n">
        <v>0</v>
      </c>
      <c r="D23" s="56" t="n">
        <v>0</v>
      </c>
      <c r="E23" s="56" t="n">
        <v>0</v>
      </c>
      <c r="F23" s="56" t="n">
        <v>0</v>
      </c>
      <c r="G23" s="56" t="n">
        <v>0</v>
      </c>
      <c r="H23" s="56" t="n">
        <v>0</v>
      </c>
    </row>
    <row r="26" customFormat="false" ht="15.75" hidden="false" customHeight="true" outlineLevel="0" collapsed="false">
      <c r="A26" s="7" t="s">
        <v>499</v>
      </c>
      <c r="B26" s="8"/>
      <c r="C26" s="8"/>
      <c r="D26" s="8"/>
      <c r="E26" s="8"/>
      <c r="F26" s="8"/>
      <c r="G26" s="8"/>
      <c r="H26" s="8"/>
      <c r="I26" s="8"/>
    </row>
    <row r="27" customFormat="false" ht="19.5" hidden="false" customHeight="true" outlineLevel="0" collapsed="false">
      <c r="A27" s="28" t="s">
        <v>500</v>
      </c>
      <c r="B27" s="28" t="s">
        <v>501</v>
      </c>
      <c r="C27" s="28" t="s">
        <v>502</v>
      </c>
      <c r="D27" s="28" t="s">
        <v>503</v>
      </c>
      <c r="E27" s="28" t="s">
        <v>504</v>
      </c>
      <c r="F27" s="28" t="s">
        <v>505</v>
      </c>
      <c r="G27" s="28" t="s">
        <v>506</v>
      </c>
      <c r="H27" s="28" t="s">
        <v>507</v>
      </c>
    </row>
    <row r="28" customFormat="false" ht="15" hidden="false" customHeight="true" outlineLevel="0" collapsed="false">
      <c r="A28" s="10" t="s">
        <v>508</v>
      </c>
      <c r="B28" s="54" t="n">
        <v>1.61</v>
      </c>
      <c r="C28" s="54" t="n">
        <v>1.52</v>
      </c>
      <c r="D28" s="57" t="n">
        <v>1.42</v>
      </c>
      <c r="E28" s="57" t="n">
        <v>1.33</v>
      </c>
      <c r="F28" s="57" t="n">
        <v>1.24</v>
      </c>
      <c r="G28" s="58" t="n">
        <v>1.14</v>
      </c>
      <c r="H28" s="58" t="n">
        <v>1.05</v>
      </c>
    </row>
    <row r="29" customFormat="false" ht="15" hidden="false" customHeight="true" outlineLevel="0" collapsed="false">
      <c r="A29" s="10" t="s">
        <v>509</v>
      </c>
      <c r="B29" s="54" t="n">
        <v>1.53</v>
      </c>
      <c r="C29" s="57" t="n">
        <v>1.43</v>
      </c>
      <c r="D29" s="57" t="n">
        <v>1.34</v>
      </c>
      <c r="E29" s="57" t="n">
        <v>1.25</v>
      </c>
      <c r="F29" s="58" t="n">
        <v>1.16</v>
      </c>
      <c r="G29" s="58" t="n">
        <v>1.06</v>
      </c>
      <c r="H29" s="58" t="n">
        <v>0.97</v>
      </c>
    </row>
    <row r="30" customFormat="false" ht="15" hidden="false" customHeight="true" outlineLevel="0" collapsed="false">
      <c r="A30" s="10" t="s">
        <v>510</v>
      </c>
      <c r="B30" s="57" t="n">
        <v>1.45</v>
      </c>
      <c r="C30" s="57" t="n">
        <v>1.35</v>
      </c>
      <c r="D30" s="57" t="n">
        <v>1.26</v>
      </c>
      <c r="E30" s="58" t="n">
        <v>1.17</v>
      </c>
      <c r="F30" s="58" t="n">
        <v>1.08</v>
      </c>
      <c r="G30" s="58" t="n">
        <v>0.98</v>
      </c>
      <c r="H30" s="58" t="n">
        <v>0.89</v>
      </c>
    </row>
    <row r="31" customFormat="false" ht="15" hidden="false" customHeight="true" outlineLevel="0" collapsed="false">
      <c r="A31" s="10" t="s">
        <v>511</v>
      </c>
      <c r="B31" s="57" t="n">
        <v>1.37</v>
      </c>
      <c r="C31" s="57" t="n">
        <v>1.27</v>
      </c>
      <c r="D31" s="58" t="n">
        <v>1.18</v>
      </c>
      <c r="E31" s="58" t="n">
        <v>1.09</v>
      </c>
      <c r="F31" s="58" t="n">
        <v>1</v>
      </c>
      <c r="G31" s="58" t="n">
        <v>0.9</v>
      </c>
      <c r="H31" s="58" t="n">
        <v>0.81</v>
      </c>
    </row>
    <row r="32" customFormat="false" ht="15" hidden="false" customHeight="true" outlineLevel="0" collapsed="false">
      <c r="A32" s="10" t="s">
        <v>512</v>
      </c>
      <c r="B32" s="57" t="n">
        <v>1.29</v>
      </c>
      <c r="C32" s="58" t="n">
        <v>1.19</v>
      </c>
      <c r="D32" s="58" t="n">
        <v>1.1</v>
      </c>
      <c r="E32" s="58" t="n">
        <v>1.01</v>
      </c>
      <c r="F32" s="58" t="n">
        <v>0.92</v>
      </c>
      <c r="G32" s="58" t="n">
        <v>0.82</v>
      </c>
      <c r="H32" s="58" t="n">
        <v>0.73</v>
      </c>
    </row>
    <row r="33" customFormat="false" ht="15" hidden="false" customHeight="true" outlineLevel="0" collapsed="false">
      <c r="A33" s="10" t="s">
        <v>513</v>
      </c>
      <c r="B33" s="57" t="n">
        <v>1.21</v>
      </c>
      <c r="C33" s="58" t="n">
        <v>1.11</v>
      </c>
      <c r="D33" s="58" t="n">
        <v>1.02</v>
      </c>
      <c r="E33" s="58" t="n">
        <v>0.93</v>
      </c>
      <c r="F33" s="58" t="n">
        <v>0.84</v>
      </c>
      <c r="G33" s="58" t="n">
        <v>0.74</v>
      </c>
      <c r="H33" s="58" t="n">
        <v>0.65</v>
      </c>
    </row>
    <row r="34" customFormat="false" ht="15" hidden="false" customHeight="true" outlineLevel="0" collapsed="false">
      <c r="A34" s="10" t="s">
        <v>514</v>
      </c>
      <c r="B34" s="58" t="n">
        <v>1.13</v>
      </c>
      <c r="C34" s="58" t="n">
        <v>1.03</v>
      </c>
      <c r="D34" s="58" t="n">
        <v>0.94</v>
      </c>
      <c r="E34" s="58" t="n">
        <v>0.85</v>
      </c>
      <c r="F34" s="58" t="n">
        <v>0.75</v>
      </c>
      <c r="G34" s="58" t="n">
        <v>0.66</v>
      </c>
      <c r="H34" s="58" t="n">
        <v>0.57</v>
      </c>
    </row>
    <row r="36" customFormat="false" ht="15.75" hidden="false" customHeight="true" outlineLevel="0" collapsed="false">
      <c r="A36" s="7" t="s">
        <v>515</v>
      </c>
      <c r="B36" s="8"/>
      <c r="C36" s="8"/>
      <c r="D36" s="8"/>
    </row>
    <row r="37" customFormat="false" ht="15" hidden="false" customHeight="true" outlineLevel="0" collapsed="false">
      <c r="A37" s="59" t="s">
        <v>516</v>
      </c>
      <c r="B37" s="59"/>
      <c r="C37" s="59"/>
      <c r="D37" s="59"/>
      <c r="E37" s="59"/>
      <c r="F37" s="59"/>
    </row>
    <row r="38" customFormat="false" ht="15" hidden="false" customHeight="true" outlineLevel="0" collapsed="false">
      <c r="A38" s="60" t="s">
        <v>517</v>
      </c>
      <c r="B38" s="60"/>
      <c r="C38" s="60"/>
      <c r="D38" s="60"/>
      <c r="E38" s="60"/>
      <c r="F38" s="60"/>
    </row>
    <row r="39" customFormat="false" ht="15" hidden="false" customHeight="true" outlineLevel="0" collapsed="false">
      <c r="A39" s="61" t="s">
        <v>518</v>
      </c>
      <c r="B39" s="61"/>
      <c r="C39" s="61"/>
      <c r="D39" s="61"/>
      <c r="E39" s="61"/>
      <c r="F39" s="61"/>
    </row>
  </sheetData>
  <mergeCells count="5">
    <mergeCell ref="A1:I1"/>
    <mergeCell ref="A13:H13"/>
    <mergeCell ref="A37:F37"/>
    <mergeCell ref="A38:F38"/>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0000"/>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3" min="3" style="0" width="34"/>
    <col collapsed="false" customWidth="true" hidden="false" outlineLevel="0" max="4" min="4" style="0" width="70"/>
  </cols>
  <sheetData>
    <row r="1" customFormat="false" ht="21.75" hidden="false" customHeight="true" outlineLevel="0" collapsed="false">
      <c r="A1" s="1" t="s">
        <v>519</v>
      </c>
      <c r="B1" s="1"/>
      <c r="C1" s="1"/>
      <c r="D1" s="1"/>
    </row>
    <row r="2" customFormat="false" ht="15" hidden="false" customHeight="false" outlineLevel="0" collapsed="false">
      <c r="A2" s="62" t="s">
        <v>1</v>
      </c>
      <c r="B2" s="62"/>
      <c r="C2" s="62"/>
      <c r="D2" s="62"/>
    </row>
    <row r="4" customFormat="false" ht="15" hidden="false" customHeight="false" outlineLevel="0" collapsed="false">
      <c r="A4" s="63" t="s">
        <v>520</v>
      </c>
      <c r="B4" s="63"/>
      <c r="C4" s="63"/>
      <c r="D4" s="63"/>
    </row>
    <row r="5" customFormat="false" ht="15" hidden="false" customHeight="false" outlineLevel="0" collapsed="false">
      <c r="A5" s="64" t="s">
        <v>521</v>
      </c>
      <c r="B5" s="64" t="s">
        <v>522</v>
      </c>
      <c r="C5" s="64" t="s">
        <v>523</v>
      </c>
      <c r="D5" s="64" t="s">
        <v>524</v>
      </c>
    </row>
    <row r="6" customFormat="false" ht="25.5" hidden="false" customHeight="true" outlineLevel="0" collapsed="false">
      <c r="A6" s="65" t="s">
        <v>44</v>
      </c>
      <c r="B6" s="66" t="s">
        <v>525</v>
      </c>
      <c r="C6" s="67" t="s">
        <v>136</v>
      </c>
      <c r="D6" s="68" t="s">
        <v>526</v>
      </c>
    </row>
    <row r="7" customFormat="false" ht="25.5" hidden="false" customHeight="true" outlineLevel="0" collapsed="false">
      <c r="A7" s="65" t="s">
        <v>47</v>
      </c>
      <c r="B7" s="66" t="s">
        <v>525</v>
      </c>
      <c r="C7" s="67" t="s">
        <v>137</v>
      </c>
      <c r="D7" s="68" t="s">
        <v>527</v>
      </c>
    </row>
    <row r="8" customFormat="false" ht="25.5" hidden="false" customHeight="true" outlineLevel="0" collapsed="false">
      <c r="A8" s="65" t="s">
        <v>50</v>
      </c>
      <c r="B8" s="66" t="s">
        <v>525</v>
      </c>
      <c r="C8" s="67" t="s">
        <v>528</v>
      </c>
      <c r="D8" s="68" t="s">
        <v>529</v>
      </c>
    </row>
    <row r="9" customFormat="false" ht="37.5" hidden="false" customHeight="true" outlineLevel="0" collapsed="false">
      <c r="A9" s="65" t="s">
        <v>53</v>
      </c>
      <c r="B9" s="66" t="s">
        <v>530</v>
      </c>
      <c r="C9" s="67" t="s">
        <v>531</v>
      </c>
      <c r="D9" s="68" t="s">
        <v>532</v>
      </c>
    </row>
    <row r="10" customFormat="false" ht="37.5" hidden="false" customHeight="true" outlineLevel="0" collapsed="false">
      <c r="A10" s="65" t="s">
        <v>56</v>
      </c>
      <c r="B10" s="66" t="s">
        <v>533</v>
      </c>
      <c r="C10" s="67" t="s">
        <v>534</v>
      </c>
      <c r="D10" s="68" t="s">
        <v>535</v>
      </c>
    </row>
    <row r="12" customFormat="false" ht="15" hidden="false" customHeight="false" outlineLevel="0" collapsed="false">
      <c r="A12" s="63" t="s">
        <v>536</v>
      </c>
      <c r="B12" s="63"/>
      <c r="C12" s="63"/>
      <c r="D12" s="63"/>
    </row>
    <row r="13" customFormat="false" ht="15" hidden="false" customHeight="false" outlineLevel="0" collapsed="false">
      <c r="A13" s="64" t="s">
        <v>521</v>
      </c>
      <c r="B13" s="64" t="s">
        <v>537</v>
      </c>
      <c r="C13" s="64" t="s">
        <v>538</v>
      </c>
      <c r="D13" s="64" t="s">
        <v>539</v>
      </c>
    </row>
    <row r="14" customFormat="false" ht="37.5" hidden="false" customHeight="true" outlineLevel="0" collapsed="false">
      <c r="A14" s="65" t="s">
        <v>540</v>
      </c>
      <c r="B14" s="66" t="s">
        <v>541</v>
      </c>
      <c r="C14" s="69" t="n">
        <v>0.1</v>
      </c>
      <c r="D14" s="68" t="s">
        <v>542</v>
      </c>
    </row>
    <row r="15" customFormat="false" ht="25.5" hidden="false" customHeight="true" outlineLevel="0" collapsed="false">
      <c r="A15" s="65" t="s">
        <v>543</v>
      </c>
      <c r="B15" s="66" t="s">
        <v>544</v>
      </c>
      <c r="C15" s="69" t="n">
        <v>0.035</v>
      </c>
      <c r="D15" s="68" t="s">
        <v>545</v>
      </c>
    </row>
    <row r="16" customFormat="false" ht="25.5" hidden="false" customHeight="true" outlineLevel="0" collapsed="false">
      <c r="A16" s="65" t="s">
        <v>546</v>
      </c>
      <c r="B16" s="66" t="s">
        <v>547</v>
      </c>
      <c r="C16" s="70" t="n">
        <f aca="false">C14+C15</f>
        <v>0.135</v>
      </c>
      <c r="D16" s="68" t="s">
        <v>548</v>
      </c>
    </row>
    <row r="17" customFormat="false" ht="25.5" hidden="false" customHeight="true" outlineLevel="0" collapsed="false">
      <c r="A17" s="65" t="s">
        <v>549</v>
      </c>
      <c r="B17" s="66" t="s">
        <v>550</v>
      </c>
      <c r="C17" s="71" t="n">
        <v>5000000</v>
      </c>
      <c r="D17" s="68" t="s">
        <v>551</v>
      </c>
    </row>
    <row r="18" customFormat="false" ht="15" hidden="false" customHeight="false" outlineLevel="0" collapsed="false">
      <c r="A18" s="65" t="s">
        <v>552</v>
      </c>
      <c r="B18" s="66" t="s">
        <v>553</v>
      </c>
      <c r="C18" s="72" t="n">
        <v>36</v>
      </c>
      <c r="D18" s="68" t="s">
        <v>554</v>
      </c>
    </row>
    <row r="19" customFormat="false" ht="15" hidden="false" customHeight="false" outlineLevel="0" collapsed="false">
      <c r="A19" s="65" t="s">
        <v>555</v>
      </c>
      <c r="B19" s="66" t="s">
        <v>556</v>
      </c>
      <c r="C19" s="72" t="n">
        <v>6</v>
      </c>
      <c r="D19" s="68" t="s">
        <v>557</v>
      </c>
    </row>
    <row r="20" customFormat="false" ht="25.5" hidden="false" customHeight="true" outlineLevel="0" collapsed="false">
      <c r="A20" s="65" t="s">
        <v>558</v>
      </c>
      <c r="B20" s="66" t="s">
        <v>559</v>
      </c>
      <c r="C20" s="69" t="n">
        <v>0.01</v>
      </c>
      <c r="D20" s="68" t="s">
        <v>560</v>
      </c>
    </row>
    <row r="21" customFormat="false" ht="25.5" hidden="false" customHeight="true" outlineLevel="0" collapsed="false">
      <c r="A21" s="65" t="s">
        <v>561</v>
      </c>
      <c r="B21" s="66" t="s">
        <v>562</v>
      </c>
      <c r="C21" s="69" t="n">
        <v>0.005</v>
      </c>
      <c r="D21" s="68" t="s">
        <v>563</v>
      </c>
    </row>
    <row r="22" customFormat="false" ht="15" hidden="false" customHeight="false" outlineLevel="0" collapsed="false">
      <c r="A22" s="65" t="s">
        <v>564</v>
      </c>
      <c r="B22" s="66" t="s">
        <v>565</v>
      </c>
      <c r="C22" s="69" t="n">
        <v>0.03</v>
      </c>
      <c r="D22" s="68" t="s">
        <v>566</v>
      </c>
    </row>
    <row r="24" customFormat="false" ht="15" hidden="false" customHeight="false" outlineLevel="0" collapsed="false">
      <c r="A24" s="63" t="s">
        <v>567</v>
      </c>
      <c r="B24" s="63"/>
      <c r="C24" s="63"/>
      <c r="D24" s="63"/>
    </row>
    <row r="25" customFormat="false" ht="15" hidden="false" customHeight="false" outlineLevel="0" collapsed="false">
      <c r="A25" s="64" t="s">
        <v>521</v>
      </c>
      <c r="B25" s="64" t="s">
        <v>568</v>
      </c>
      <c r="C25" s="64" t="s">
        <v>569</v>
      </c>
      <c r="D25" s="64" t="s">
        <v>570</v>
      </c>
    </row>
    <row r="26" customFormat="false" ht="25.5" hidden="false" customHeight="true" outlineLevel="0" collapsed="false">
      <c r="A26" s="65" t="s">
        <v>571</v>
      </c>
      <c r="B26" s="66" t="s">
        <v>572</v>
      </c>
      <c r="C26" s="73" t="n">
        <f aca="false">C17/1000*C16</f>
        <v>675</v>
      </c>
      <c r="D26" s="68" t="s">
        <v>573</v>
      </c>
    </row>
    <row r="27" customFormat="false" ht="15" hidden="false" customHeight="false" outlineLevel="0" collapsed="false">
      <c r="A27" s="65" t="s">
        <v>574</v>
      </c>
      <c r="B27" s="66" t="s">
        <v>575</v>
      </c>
      <c r="C27" s="73" t="n">
        <f aca="false">C17/1000*C20</f>
        <v>50</v>
      </c>
      <c r="D27" s="68" t="s">
        <v>576</v>
      </c>
    </row>
    <row r="28" customFormat="false" ht="25.5" hidden="false" customHeight="true" outlineLevel="0" collapsed="false">
      <c r="A28" s="65" t="s">
        <v>577</v>
      </c>
      <c r="B28" s="66" t="s">
        <v>578</v>
      </c>
      <c r="C28" s="73" t="n">
        <f aca="false">C17/1000*C21*C19/12</f>
        <v>12.5</v>
      </c>
      <c r="D28" s="68" t="s">
        <v>579</v>
      </c>
    </row>
    <row r="29" customFormat="false" ht="15" hidden="false" customHeight="false" outlineLevel="0" collapsed="false">
      <c r="A29" s="65" t="s">
        <v>580</v>
      </c>
      <c r="B29" s="66" t="s">
        <v>581</v>
      </c>
      <c r="C29" s="74" t="n">
        <f aca="false">SUM(C26:C28)</f>
        <v>737.5</v>
      </c>
      <c r="D29" s="68" t="s">
        <v>582</v>
      </c>
    </row>
    <row r="30" customFormat="false" ht="37.5" hidden="false" customHeight="true" outlineLevel="0" collapsed="false">
      <c r="A30" s="65" t="s">
        <v>583</v>
      </c>
      <c r="B30" s="66" t="s">
        <v>584</v>
      </c>
      <c r="C30" s="67"/>
      <c r="D30" s="68" t="s">
        <v>585</v>
      </c>
    </row>
    <row r="32" customFormat="false" ht="15" hidden="false" customHeight="false" outlineLevel="0" collapsed="false">
      <c r="A32" s="63" t="s">
        <v>586</v>
      </c>
      <c r="B32" s="63"/>
      <c r="C32" s="63"/>
      <c r="D32" s="63"/>
    </row>
    <row r="33" customFormat="false" ht="15" hidden="false" customHeight="false" outlineLevel="0" collapsed="false">
      <c r="A33" s="64" t="s">
        <v>521</v>
      </c>
      <c r="B33" s="64" t="s">
        <v>587</v>
      </c>
      <c r="C33" s="64" t="s">
        <v>588</v>
      </c>
      <c r="D33" s="64" t="s">
        <v>589</v>
      </c>
    </row>
    <row r="34" customFormat="false" ht="37.5" hidden="false" customHeight="true" outlineLevel="0" collapsed="false">
      <c r="A34" s="65" t="s">
        <v>590</v>
      </c>
      <c r="B34" s="66" t="s">
        <v>591</v>
      </c>
      <c r="C34" s="75" t="n">
        <f aca="false">'Ratio Analysis'!D6</f>
        <v>3.8619</v>
      </c>
      <c r="D34" s="68" t="s">
        <v>592</v>
      </c>
    </row>
    <row r="35" customFormat="false" ht="49.5" hidden="false" customHeight="true" outlineLevel="0" collapsed="false">
      <c r="A35" s="65" t="s">
        <v>593</v>
      </c>
      <c r="B35" s="66" t="s">
        <v>594</v>
      </c>
      <c r="C35" s="76" t="n">
        <f aca="false">'Sensitivity Analysis'!E6</f>
        <v>106.417708148148</v>
      </c>
      <c r="D35" s="68" t="s">
        <v>595</v>
      </c>
    </row>
    <row r="36" customFormat="false" ht="37.5" hidden="false" customHeight="true" outlineLevel="0" collapsed="false">
      <c r="A36" s="65" t="s">
        <v>596</v>
      </c>
      <c r="B36" s="66" t="s">
        <v>597</v>
      </c>
      <c r="C36" s="67"/>
      <c r="D36" s="68" t="s">
        <v>598</v>
      </c>
    </row>
    <row r="38" customFormat="false" ht="15" hidden="false" customHeight="false" outlineLevel="0" collapsed="false">
      <c r="A38" s="63" t="s">
        <v>599</v>
      </c>
      <c r="B38" s="63"/>
      <c r="C38" s="63"/>
      <c r="D38" s="63"/>
    </row>
    <row r="39" customFormat="false" ht="25.5" hidden="false" customHeight="true" outlineLevel="0" collapsed="false">
      <c r="A39" s="77" t="s">
        <v>600</v>
      </c>
      <c r="B39" s="78" t="s">
        <v>601</v>
      </c>
      <c r="C39" s="78"/>
      <c r="D39" s="78"/>
    </row>
    <row r="40" customFormat="false" ht="25.5" hidden="false" customHeight="true" outlineLevel="0" collapsed="false">
      <c r="A40" s="77" t="s">
        <v>602</v>
      </c>
      <c r="B40" s="78" t="s">
        <v>603</v>
      </c>
      <c r="C40" s="78"/>
      <c r="D40" s="78"/>
    </row>
    <row r="41" customFormat="false" ht="25.5" hidden="false" customHeight="true" outlineLevel="0" collapsed="false">
      <c r="A41" s="77" t="s">
        <v>604</v>
      </c>
      <c r="B41" s="78" t="s">
        <v>605</v>
      </c>
      <c r="C41" s="78"/>
      <c r="D41" s="78"/>
    </row>
    <row r="42" customFormat="false" ht="25.5" hidden="false" customHeight="true" outlineLevel="0" collapsed="false">
      <c r="A42" s="77" t="s">
        <v>606</v>
      </c>
      <c r="B42" s="78" t="s">
        <v>607</v>
      </c>
      <c r="C42" s="78"/>
      <c r="D42" s="78"/>
    </row>
    <row r="43" customFormat="false" ht="25.5" hidden="false" customHeight="true" outlineLevel="0" collapsed="false">
      <c r="A43" s="77" t="s">
        <v>608</v>
      </c>
      <c r="B43" s="78" t="s">
        <v>609</v>
      </c>
      <c r="C43" s="78"/>
      <c r="D43" s="78"/>
    </row>
  </sheetData>
  <mergeCells count="12">
    <mergeCell ref="A1:D1"/>
    <mergeCell ref="A2:D2"/>
    <mergeCell ref="A4:D4"/>
    <mergeCell ref="A12:D12"/>
    <mergeCell ref="A24:D24"/>
    <mergeCell ref="A32:D32"/>
    <mergeCell ref="A38:D38"/>
    <mergeCell ref="B39:D39"/>
    <mergeCell ref="B40:D40"/>
    <mergeCell ref="B41:D41"/>
    <mergeCell ref="B42:D42"/>
    <mergeCell ref="B43:D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2026-06-06T18:23:28Z</dcterms:created>
  <dc:creator>openpyxl</dc:creator>
  <dc:description/>
  <dc:language>en-US</dc:language>
  <cp:lastModifiedBy>Admin</cp:lastModifiedBy>
  <dcterms:modified xsi:type="dcterms:W3CDTF">2026-10-27T18:05:53Z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